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 NB" sheetId="1" state="visible" r:id="rId3"/>
    <sheet name="Quiz N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<sst xmlns="http://schemas.openxmlformats.org/spreadsheetml/2006/main" count="211" uniqueCount="80">
  <si>
    <t xml:space="preserve">Cara Kerja Naive Bayes Classification </t>
  </si>
  <si>
    <t xml:space="preserve">1. Persiapan Data</t>
  </si>
  <si>
    <t xml:space="preserve">Day</t>
  </si>
  <si>
    <t xml:space="preserve">Outlook</t>
  </si>
  <si>
    <t xml:space="preserve">Temperature</t>
  </si>
  <si>
    <t xml:space="preserve">Humidity</t>
  </si>
  <si>
    <t xml:space="preserve">Wind</t>
  </si>
  <si>
    <t xml:space="preserve">Play Ball</t>
  </si>
  <si>
    <t xml:space="preserve">Sunny</t>
  </si>
  <si>
    <t xml:space="preserve">Hot</t>
  </si>
  <si>
    <t xml:space="preserve">High</t>
  </si>
  <si>
    <t xml:space="preserve">Weak</t>
  </si>
  <si>
    <t xml:space="preserve">No</t>
  </si>
  <si>
    <t xml:space="preserve">Strong</t>
  </si>
  <si>
    <t xml:space="preserve">Cloudy</t>
  </si>
  <si>
    <t xml:space="preserve">Yes</t>
  </si>
  <si>
    <t xml:space="preserve">Rain</t>
  </si>
  <si>
    <t xml:space="preserve">Mild</t>
  </si>
  <si>
    <t xml:space="preserve">Cool</t>
  </si>
  <si>
    <t xml:space="preserve">Normal</t>
  </si>
  <si>
    <t xml:space="preserve">Cool </t>
  </si>
  <si>
    <t xml:space="preserve">2. Hitung Probabilitas Kelas</t>
  </si>
  <si>
    <t xml:space="preserve">P(Yes) =</t>
  </si>
  <si>
    <t xml:space="preserve">P(No) =</t>
  </si>
  <si>
    <t xml:space="preserve">3. Hitung Probabilitas Kondisional</t>
  </si>
  <si>
    <t xml:space="preserve">Untuk menghitung probabilitas prediksi, kita perlu menghitung probabilitas dari setiap fitur terhadap kelas "Yes" dan "No".</t>
  </si>
  <si>
    <t xml:space="preserve">a. Outlook</t>
  </si>
  <si>
    <t xml:space="preserve">b. Temperature</t>
  </si>
  <si>
    <t xml:space="preserve">Yes(4)</t>
  </si>
  <si>
    <t xml:space="preserve">No(3)</t>
  </si>
  <si>
    <t xml:space="preserve">c. Humidity</t>
  </si>
  <si>
    <t xml:space="preserve">d. Wind</t>
  </si>
  <si>
    <t xml:space="preserve">Contoh Prediksi:</t>
  </si>
  <si>
    <t xml:space="preserve">Misalkan kita ingin prediksi data berikut:</t>
  </si>
  <si>
    <t xml:space="preserve">Outlook = Sunny, Temperature = cool, Humidity = High, Wind = Strong</t>
  </si>
  <si>
    <t xml:space="preserve">Hitung Probabilitas Kelas:</t>
  </si>
  <si>
    <t xml:space="preserve"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</si>
  <si>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</si>
  <si>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</si>
  <si>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</si>
  <si>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</si>
  <si>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</si>
  <si>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</si>
  <si>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</si>
  <si>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 xml:space="preserve"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</si>
  <si>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</si>
  <si>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</si>
  <si>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</si>
  <si>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</si>
  <si>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</si>
  <si>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</si>
  <si>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 xml:space="preserve">4. Menerapkan teorema Bayes</t>
  </si>
  <si>
    <t xml:space="preserve">📌 Kesimpulan:</t>
  </si>
  <si>
    <t xml:space="preserve">Karena P(No | Fitur) &gt; P(Yes | Fitur), maka prediksi Naive Bayes untuk data:</t>
  </si>
  <si>
    <t xml:space="preserve">Outlook = Sunny, Temperature = Cool, Humidity = High, Wind = Strong</t>
  </si>
  <si>
    <r>
      <rPr>
        <sz val="11"/>
        <color theme="1"/>
        <rFont val="Calibri"/>
        <family val="0"/>
        <charset val="1"/>
      </rPr>
      <t xml:space="preserve">adalah: </t>
    </r>
    <r>
      <rPr>
        <b val="true"/>
        <sz val="11"/>
        <color theme="1"/>
        <rFont val="Calibri"/>
        <family val="0"/>
        <charset val="1"/>
      </rPr>
      <t xml:space="preserve">"No"</t>
    </r>
  </si>
  <si>
    <t xml:space="preserve">Naive Bayes Classification - Quiz</t>
  </si>
  <si>
    <t xml:space="preserve">Nama :</t>
  </si>
  <si>
    <t xml:space="preserve">Aldon Zufar Putra Twyn</t>
  </si>
  <si>
    <t xml:space="preserve">NIM :</t>
  </si>
  <si>
    <t xml:space="preserve">Kelas : </t>
  </si>
  <si>
    <t xml:space="preserve">Robotika – B Pagi</t>
  </si>
  <si>
    <t xml:space="preserve">1. Data</t>
  </si>
  <si>
    <t xml:space="preserve">❓Pertanyaan:</t>
  </si>
  <si>
    <r>
      <rPr>
        <sz val="11"/>
        <color theme="1"/>
        <rFont val="Calibri"/>
        <family val="0"/>
        <charset val="1"/>
      </rPr>
      <t xml:space="preserve">Berdasarkan data di atas, gunakan algoritma </t>
    </r>
    <r>
      <rPr>
        <b val="true"/>
        <sz val="11"/>
        <color theme="1"/>
        <rFont val="Calibri"/>
        <family val="0"/>
        <charset val="1"/>
      </rPr>
      <t xml:space="preserve">Naive Bayes</t>
    </r>
    <r>
      <rPr>
        <sz val="11"/>
        <color theme="1"/>
        <rFont val="Calibri"/>
        <family val="0"/>
        <charset val="1"/>
      </rPr>
      <t xml:space="preserve"> untuk memprediksi apakah seseorang akan </t>
    </r>
    <r>
      <rPr>
        <b val="true"/>
        <sz val="11"/>
        <color theme="1"/>
        <rFont val="Calibri"/>
        <family val="0"/>
        <charset val="1"/>
      </rPr>
      <t xml:space="preserve">Play = Yes atau No</t>
    </r>
    <r>
      <rPr>
        <sz val="11"/>
        <color theme="1"/>
        <rFont val="Calibri"/>
        <family val="0"/>
        <charset val="1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</si>
  <si>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</si>
  <si>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</si>
  <si>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</si>
  <si>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</si>
  <si>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 xml:space="preserve">Petunjuk:</t>
  </si>
  <si>
    <t xml:space="preserve">- Hitung probabilitas P(Yes) dan P(No)</t>
  </si>
  <si>
    <t xml:space="preserve">- Hitung probabilitas kondisi fitur terhadap setiap kelas</t>
  </si>
  <si>
    <t xml:space="preserve">- Gunakan Laplace smoothing jika perlu</t>
  </si>
  <si>
    <t xml:space="preserve">- Tentukan prediksi akhir berdasarkan probabilitas tertinggi</t>
  </si>
  <si>
    <t xml:space="preserve">No(4)</t>
  </si>
  <si>
    <t xml:space="preserve">PERHITUNGAN</t>
  </si>
  <si>
    <t xml:space="preserve">P(Yes|Fitur) = P(Yes) * P(Sunny|Yes) * P(Cool|Yes) * P(High|Yes) * P(Weak|Yes)</t>
  </si>
  <si>
    <t xml:space="preserve">P(Weak|Yes) = </t>
  </si>
  <si>
    <t xml:space="preserve">P(No|Fitur) = P(No) * P(Sunny|No) * P(Cool|No) * P(High|No) * P(Weak|No)</t>
  </si>
  <si>
    <t xml:space="preserve">P(Weak|No) =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</si>
</sst>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 ?/?"/>
    <numFmt numFmtId="166" formatCode="# ?/4"/>
    <numFmt numFmtId="167" formatCode="_(* #,##0.00000_);_(* \(#,##0.00000\);_(* \-?????_);_(@_)"/>
    <numFmt numFmtId="168" formatCode="# ?/8"/>
    <numFmt numFmtId="169" formatCode="d\-mmm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4"/>
      <color rgb="FFFF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00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C79" activeCellId="0" sqref="C79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29"/>
    <col collapsed="false" customWidth="true" hidden="false" outlineLevel="0" max="3" min="3" style="1" width="12.29"/>
    <col collapsed="false" customWidth="true" hidden="false" outlineLevel="0" max="4" min="4" style="1" width="12.57"/>
    <col collapsed="false" customWidth="true" hidden="false" outlineLevel="0" max="5" min="5" style="1" width="8.71"/>
    <col collapsed="false" customWidth="true" hidden="false" outlineLevel="0" max="6" min="6" style="1" width="12.29"/>
    <col collapsed="false" customWidth="true" hidden="false" outlineLevel="0" max="26" min="7" style="1" width="8.71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>
      <c r="B3" s="2" t="s">
        <v>0</v>
      </c>
      <c r="C3" s="2"/>
      <c r="D3" s="2"/>
      <c r="E3" s="2"/>
      <c r="F3" s="2"/>
      <c r="G3" s="2"/>
      <c r="H3" s="2"/>
    </row>
    <row r="4" customFormat="false" ht="14.25" hidden="false" customHeight="true" outlineLevel="0" collapsed="false"/>
    <row r="5" customFormat="false" ht="14.25" hidden="false" customHeight="true" outlineLevel="0" collapsed="false">
      <c r="B5" s="3" t="s">
        <v>1</v>
      </c>
    </row>
    <row r="6" customFormat="false" ht="14.25" hidden="false" customHeight="true" outlineLevel="0" collapsed="false"/>
    <row r="7" customFormat="false" ht="14.25" hidden="false" customHeight="true" outlineLevel="0" collapsed="false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customFormat="false" ht="14.25" hidden="false" customHeight="true" outlineLevel="0" collapsed="false">
      <c r="B8" s="5" t="n">
        <v>1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</row>
    <row r="9" customFormat="false" ht="14.25" hidden="false" customHeight="true" outlineLevel="0" collapsed="false">
      <c r="B9" s="5" t="n">
        <v>2</v>
      </c>
      <c r="C9" s="5" t="s">
        <v>8</v>
      </c>
      <c r="D9" s="5" t="s">
        <v>9</v>
      </c>
      <c r="E9" s="5" t="s">
        <v>10</v>
      </c>
      <c r="F9" s="5" t="s">
        <v>13</v>
      </c>
      <c r="G9" s="5" t="s">
        <v>12</v>
      </c>
    </row>
    <row r="10" customFormat="false" ht="14.25" hidden="false" customHeight="true" outlineLevel="0" collapsed="false">
      <c r="B10" s="5" t="n">
        <v>3</v>
      </c>
      <c r="C10" s="5" t="s">
        <v>14</v>
      </c>
      <c r="D10" s="5" t="s">
        <v>9</v>
      </c>
      <c r="E10" s="5" t="s">
        <v>10</v>
      </c>
      <c r="F10" s="5" t="s">
        <v>11</v>
      </c>
      <c r="G10" s="5" t="s">
        <v>15</v>
      </c>
    </row>
    <row r="11" customFormat="false" ht="14.25" hidden="false" customHeight="true" outlineLevel="0" collapsed="false">
      <c r="B11" s="5" t="n">
        <v>4</v>
      </c>
      <c r="C11" s="5" t="s">
        <v>16</v>
      </c>
      <c r="D11" s="5" t="s">
        <v>17</v>
      </c>
      <c r="E11" s="5" t="s">
        <v>10</v>
      </c>
      <c r="F11" s="5" t="s">
        <v>11</v>
      </c>
      <c r="G11" s="5" t="s">
        <v>15</v>
      </c>
    </row>
    <row r="12" customFormat="false" ht="14.25" hidden="false" customHeight="true" outlineLevel="0" collapsed="false">
      <c r="B12" s="5" t="n">
        <v>5</v>
      </c>
      <c r="C12" s="5" t="s">
        <v>16</v>
      </c>
      <c r="D12" s="5" t="s">
        <v>18</v>
      </c>
      <c r="E12" s="5" t="s">
        <v>19</v>
      </c>
      <c r="F12" s="5" t="s">
        <v>11</v>
      </c>
      <c r="G12" s="5" t="s">
        <v>15</v>
      </c>
    </row>
    <row r="13" customFormat="false" ht="14.25" hidden="false" customHeight="true" outlineLevel="0" collapsed="false">
      <c r="B13" s="5" t="n">
        <v>6</v>
      </c>
      <c r="C13" s="5" t="s">
        <v>16</v>
      </c>
      <c r="D13" s="5" t="s">
        <v>18</v>
      </c>
      <c r="E13" s="5" t="s">
        <v>19</v>
      </c>
      <c r="F13" s="5" t="s">
        <v>13</v>
      </c>
      <c r="G13" s="5" t="s">
        <v>12</v>
      </c>
    </row>
    <row r="14" customFormat="false" ht="14.25" hidden="false" customHeight="true" outlineLevel="0" collapsed="false">
      <c r="B14" s="5" t="n">
        <v>7</v>
      </c>
      <c r="C14" s="5" t="s">
        <v>14</v>
      </c>
      <c r="D14" s="5" t="s">
        <v>20</v>
      </c>
      <c r="E14" s="5" t="s">
        <v>19</v>
      </c>
      <c r="F14" s="5" t="s">
        <v>13</v>
      </c>
      <c r="G14" s="5" t="s">
        <v>15</v>
      </c>
    </row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>
      <c r="B17" s="3" t="s">
        <v>21</v>
      </c>
    </row>
    <row r="18" customFormat="false" ht="14.25" hidden="false" customHeight="true" outlineLevel="0" collapsed="false"/>
    <row r="19" customFormat="false" ht="14.25" hidden="false" customHeight="true" outlineLevel="0" collapsed="false">
      <c r="B19" s="6" t="s">
        <v>22</v>
      </c>
      <c r="C19" s="7" t="n">
        <f aca="false">4/7</f>
        <v>0.5714285714</v>
      </c>
    </row>
    <row r="20" customFormat="false" ht="14.25" hidden="false" customHeight="true" outlineLevel="0" collapsed="false">
      <c r="B20" s="6" t="s">
        <v>23</v>
      </c>
      <c r="C20" s="7" t="n">
        <f aca="false">3/7</f>
        <v>0.4285714286</v>
      </c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>
      <c r="B23" s="3" t="s">
        <v>24</v>
      </c>
    </row>
    <row r="24" customFormat="false" ht="14.25" hidden="false" customHeight="true" outlineLevel="0" collapsed="false">
      <c r="B24" s="8" t="s">
        <v>25</v>
      </c>
      <c r="C24" s="8"/>
      <c r="D24" s="8"/>
      <c r="E24" s="8"/>
      <c r="F24" s="8"/>
      <c r="G24" s="8"/>
    </row>
    <row r="25" customFormat="false" ht="14.25" hidden="false" customHeight="true" outlineLevel="0" collapsed="false">
      <c r="B25" s="8"/>
      <c r="C25" s="8"/>
      <c r="D25" s="8"/>
      <c r="E25" s="8"/>
      <c r="F25" s="8"/>
      <c r="G25" s="8"/>
    </row>
    <row r="26" customFormat="false" ht="14.25" hidden="false" customHeight="true" outlineLevel="0" collapsed="false">
      <c r="B26" s="9"/>
      <c r="C26" s="9"/>
      <c r="D26" s="9"/>
      <c r="E26" s="9"/>
      <c r="F26" s="9"/>
      <c r="G26" s="9"/>
    </row>
    <row r="27" customFormat="false" ht="14.25" hidden="false" customHeight="true" outlineLevel="0" collapsed="false">
      <c r="B27" s="9"/>
      <c r="C27" s="9"/>
      <c r="D27" s="9"/>
      <c r="E27" s="9"/>
      <c r="F27" s="9"/>
      <c r="G27" s="9"/>
    </row>
    <row r="28" customFormat="false" ht="14.25" hidden="false" customHeight="true" outlineLevel="0" collapsed="false"/>
    <row r="29" customFormat="false" ht="14.25" hidden="false" customHeight="true" outlineLevel="0" collapsed="false">
      <c r="B29" s="6" t="s">
        <v>26</v>
      </c>
      <c r="F29" s="6" t="s">
        <v>27</v>
      </c>
    </row>
    <row r="30" customFormat="false" ht="14.25" hidden="false" customHeight="true" outlineLevel="0" collapsed="false"/>
    <row r="31" customFormat="false" ht="14.25" hidden="false" customHeight="true" outlineLevel="0" collapsed="false">
      <c r="B31" s="5" t="s">
        <v>3</v>
      </c>
      <c r="C31" s="5" t="s">
        <v>28</v>
      </c>
      <c r="D31" s="5" t="s">
        <v>29</v>
      </c>
      <c r="F31" s="5" t="s">
        <v>4</v>
      </c>
      <c r="G31" s="5" t="s">
        <v>28</v>
      </c>
      <c r="H31" s="5" t="s">
        <v>29</v>
      </c>
    </row>
    <row r="32" customFormat="false" ht="14.25" hidden="false" customHeight="true" outlineLevel="0" collapsed="false">
      <c r="B32" s="5" t="s">
        <v>8</v>
      </c>
      <c r="C32" s="5" t="n">
        <v>0</v>
      </c>
      <c r="D32" s="5" t="n">
        <v>2</v>
      </c>
      <c r="F32" s="10" t="s">
        <v>9</v>
      </c>
      <c r="G32" s="10" t="n">
        <v>1</v>
      </c>
      <c r="H32" s="10" t="n">
        <v>2</v>
      </c>
    </row>
    <row r="33" customFormat="false" ht="14.25" hidden="false" customHeight="true" outlineLevel="0" collapsed="false">
      <c r="B33" s="5" t="s">
        <v>16</v>
      </c>
      <c r="C33" s="5" t="n">
        <v>2</v>
      </c>
      <c r="D33" s="5" t="n">
        <v>1</v>
      </c>
      <c r="F33" s="10" t="s">
        <v>17</v>
      </c>
      <c r="G33" s="10" t="n">
        <v>1</v>
      </c>
      <c r="H33" s="10" t="n">
        <v>0</v>
      </c>
    </row>
    <row r="34" customFormat="false" ht="14.25" hidden="false" customHeight="true" outlineLevel="0" collapsed="false">
      <c r="B34" s="5" t="s">
        <v>14</v>
      </c>
      <c r="C34" s="5" t="n">
        <v>2</v>
      </c>
      <c r="D34" s="5" t="n">
        <v>0</v>
      </c>
      <c r="F34" s="10" t="s">
        <v>18</v>
      </c>
      <c r="G34" s="10" t="n">
        <v>2</v>
      </c>
      <c r="H34" s="10" t="n">
        <v>1</v>
      </c>
    </row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>
      <c r="B37" s="11" t="s">
        <v>30</v>
      </c>
      <c r="F37" s="6" t="s">
        <v>31</v>
      </c>
    </row>
    <row r="38" customFormat="false" ht="14.25" hidden="false" customHeight="true" outlineLevel="0" collapsed="false"/>
    <row r="39" customFormat="false" ht="14.25" hidden="false" customHeight="true" outlineLevel="0" collapsed="false">
      <c r="B39" s="10" t="s">
        <v>5</v>
      </c>
      <c r="C39" s="10" t="s">
        <v>28</v>
      </c>
      <c r="D39" s="10" t="s">
        <v>29</v>
      </c>
      <c r="F39" s="10" t="s">
        <v>6</v>
      </c>
      <c r="G39" s="10" t="s">
        <v>28</v>
      </c>
      <c r="H39" s="10" t="s">
        <v>29</v>
      </c>
    </row>
    <row r="40" customFormat="false" ht="14.25" hidden="false" customHeight="true" outlineLevel="0" collapsed="false">
      <c r="B40" s="10" t="s">
        <v>10</v>
      </c>
      <c r="C40" s="10" t="n">
        <v>2</v>
      </c>
      <c r="D40" s="10" t="n">
        <v>2</v>
      </c>
      <c r="F40" s="10" t="s">
        <v>11</v>
      </c>
      <c r="G40" s="10" t="n">
        <v>3</v>
      </c>
      <c r="H40" s="10" t="n">
        <v>1</v>
      </c>
    </row>
    <row r="41" customFormat="false" ht="14.25" hidden="false" customHeight="true" outlineLevel="0" collapsed="false">
      <c r="B41" s="10" t="s">
        <v>19</v>
      </c>
      <c r="C41" s="10" t="n">
        <v>2</v>
      </c>
      <c r="D41" s="10" t="n">
        <v>1</v>
      </c>
      <c r="F41" s="10" t="s">
        <v>13</v>
      </c>
      <c r="G41" s="10" t="n">
        <v>1</v>
      </c>
      <c r="H41" s="10" t="n">
        <v>2</v>
      </c>
    </row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>
      <c r="B45" s="3" t="s">
        <v>32</v>
      </c>
    </row>
    <row r="46" customFormat="false" ht="14.25" hidden="false" customHeight="true" outlineLevel="0" collapsed="false">
      <c r="B46" s="6" t="s">
        <v>33</v>
      </c>
    </row>
    <row r="47" customFormat="false" ht="14.25" hidden="false" customHeight="true" outlineLevel="0" collapsed="false">
      <c r="B47" s="12" t="s">
        <v>34</v>
      </c>
      <c r="C47" s="12"/>
      <c r="D47" s="12"/>
      <c r="E47" s="12"/>
      <c r="F47" s="12"/>
      <c r="G47" s="12"/>
    </row>
    <row r="48" customFormat="false" ht="14.25" hidden="false" customHeight="true" outlineLevel="0" collapsed="false"/>
    <row r="49" customFormat="false" ht="14.25" hidden="false" customHeight="true" outlineLevel="0" collapsed="false">
      <c r="B49" s="3" t="s">
        <v>35</v>
      </c>
      <c r="C49" s="3"/>
      <c r="D49" s="3"/>
      <c r="E49" s="3"/>
      <c r="F49" s="3"/>
      <c r="G49" s="3"/>
      <c r="H49" s="3"/>
    </row>
    <row r="50" customFormat="false" ht="14.25" hidden="false" customHeight="true" outlineLevel="0" collapsed="false">
      <c r="B50" s="3" t="s">
        <v>36</v>
      </c>
      <c r="C50" s="3"/>
      <c r="D50" s="3"/>
      <c r="E50" s="3"/>
      <c r="F50" s="3"/>
      <c r="G50" s="3"/>
      <c r="H50" s="3"/>
    </row>
    <row r="51" customFormat="false" ht="14.25" hidden="false" customHeight="true" outlineLevel="0" collapsed="false"/>
    <row r="52" customFormat="false" ht="14.25" hidden="false" customHeight="true" outlineLevel="0" collapsed="false">
      <c r="B52" s="6" t="s">
        <v>37</v>
      </c>
      <c r="C52" s="7" t="n">
        <f aca="false">4/7</f>
        <v>0.5714285714</v>
      </c>
    </row>
    <row r="53" customFormat="false" ht="14.25" hidden="false" customHeight="true" outlineLevel="0" collapsed="false">
      <c r="B53" s="6" t="s">
        <v>38</v>
      </c>
      <c r="C53" s="6" t="n">
        <f aca="false">0/4</f>
        <v>0</v>
      </c>
      <c r="D53" s="13" t="s">
        <v>39</v>
      </c>
      <c r="E53" s="13"/>
      <c r="F53" s="13"/>
      <c r="G53" s="13"/>
      <c r="H53" s="7" t="n">
        <f aca="false">1/7</f>
        <v>0.1428571429</v>
      </c>
    </row>
    <row r="54" customFormat="false" ht="14.25" hidden="false" customHeight="true" outlineLevel="0" collapsed="false">
      <c r="B54" s="6" t="s">
        <v>40</v>
      </c>
      <c r="C54" s="14" t="n">
        <f aca="false">2/4</f>
        <v>0.5</v>
      </c>
    </row>
    <row r="55" customFormat="false" ht="14.25" hidden="false" customHeight="true" outlineLevel="0" collapsed="false">
      <c r="B55" s="6" t="s">
        <v>41</v>
      </c>
      <c r="C55" s="14" t="n">
        <f aca="false">2/4</f>
        <v>0.5</v>
      </c>
    </row>
    <row r="56" customFormat="false" ht="14.25" hidden="false" customHeight="true" outlineLevel="0" collapsed="false">
      <c r="B56" s="6" t="s">
        <v>42</v>
      </c>
      <c r="C56" s="7" t="n">
        <f aca="false">1/4</f>
        <v>0.25</v>
      </c>
    </row>
    <row r="57" customFormat="false" ht="14.25" hidden="false" customHeight="true" outlineLevel="0" collapsed="false"/>
    <row r="58" customFormat="false" ht="14.25" hidden="false" customHeight="true" outlineLevel="0" collapsed="false">
      <c r="B58" s="6" t="s">
        <v>43</v>
      </c>
      <c r="C58" s="15" t="n">
        <f aca="false">C52*H53*C54*C55*C56</f>
        <v>0.005102040816</v>
      </c>
    </row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>
      <c r="B61" s="3" t="s">
        <v>44</v>
      </c>
      <c r="C61" s="3"/>
      <c r="D61" s="3"/>
      <c r="E61" s="3"/>
      <c r="F61" s="3"/>
      <c r="G61" s="3"/>
    </row>
    <row r="62" customFormat="false" ht="14.25" hidden="false" customHeight="true" outlineLevel="0" collapsed="false"/>
    <row r="63" customFormat="false" ht="14.25" hidden="false" customHeight="true" outlineLevel="0" collapsed="false">
      <c r="B63" s="6" t="s">
        <v>45</v>
      </c>
      <c r="C63" s="7" t="n">
        <f aca="false">3/7</f>
        <v>0.4285714286</v>
      </c>
    </row>
    <row r="64" customFormat="false" ht="14.25" hidden="false" customHeight="true" outlineLevel="0" collapsed="false">
      <c r="B64" s="6" t="s">
        <v>46</v>
      </c>
      <c r="C64" s="7" t="n">
        <f aca="false">2/3</f>
        <v>0.6666666667</v>
      </c>
    </row>
    <row r="65" customFormat="false" ht="14.25" hidden="false" customHeight="true" outlineLevel="0" collapsed="false">
      <c r="B65" s="6" t="s">
        <v>47</v>
      </c>
      <c r="C65" s="7" t="n">
        <v>0.333333333333333</v>
      </c>
    </row>
    <row r="66" customFormat="false" ht="14.25" hidden="false" customHeight="true" outlineLevel="0" collapsed="false">
      <c r="B66" s="6" t="s">
        <v>48</v>
      </c>
      <c r="C66" s="7" t="n">
        <v>0.666666666666667</v>
      </c>
    </row>
    <row r="67" customFormat="false" ht="14.25" hidden="false" customHeight="true" outlineLevel="0" collapsed="false">
      <c r="B67" s="6" t="s">
        <v>49</v>
      </c>
      <c r="C67" s="7" t="n">
        <v>0.666666666666667</v>
      </c>
    </row>
    <row r="68" customFormat="false" ht="14.25" hidden="false" customHeight="true" outlineLevel="0" collapsed="false"/>
    <row r="69" customFormat="false" ht="14.25" hidden="false" customHeight="true" outlineLevel="0" collapsed="false">
      <c r="B69" s="6" t="s">
        <v>50</v>
      </c>
      <c r="C69" s="15" t="n">
        <f aca="false">C63*C64*C65*C66*C67</f>
        <v>0.04232804233</v>
      </c>
    </row>
    <row r="70" customFormat="false" ht="14.25" hidden="false" customHeight="true" outlineLevel="0" collapsed="false"/>
    <row r="71" customFormat="false" ht="14.25" hidden="false" customHeight="true" outlineLevel="0" collapsed="false">
      <c r="B71" s="3" t="s">
        <v>51</v>
      </c>
    </row>
    <row r="72" customFormat="false" ht="14.25" hidden="false" customHeight="true" outlineLevel="0" collapsed="false"/>
    <row r="73" customFormat="false" ht="14.25" hidden="false" customHeight="true" outlineLevel="0" collapsed="false">
      <c r="B73" s="16" t="s">
        <v>52</v>
      </c>
    </row>
    <row r="74" customFormat="false" ht="14.25" hidden="false" customHeight="true" outlineLevel="0" collapsed="false"/>
    <row r="75" customFormat="false" ht="14.25" hidden="false" customHeight="true" outlineLevel="0" collapsed="false">
      <c r="B75" s="6" t="s">
        <v>53</v>
      </c>
    </row>
    <row r="76" customFormat="false" ht="14.25" hidden="false" customHeight="true" outlineLevel="0" collapsed="false">
      <c r="B76" s="17"/>
      <c r="C76" s="3"/>
      <c r="D76" s="3"/>
      <c r="E76" s="3"/>
      <c r="F76" s="3"/>
      <c r="G76" s="3"/>
    </row>
    <row r="77" customFormat="false" ht="14.25" hidden="false" customHeight="true" outlineLevel="0" collapsed="false">
      <c r="B77" s="18" t="s">
        <v>54</v>
      </c>
    </row>
    <row r="78" customFormat="false" ht="14.25" hidden="false" customHeight="true" outlineLevel="0" collapsed="false"/>
    <row r="79" customFormat="false" ht="14.25" hidden="false" customHeight="true" outlineLevel="0" collapsed="false">
      <c r="B79" s="6" t="s">
        <v>55</v>
      </c>
    </row>
    <row r="80" customFormat="false" ht="14.25" hidden="false" customHeight="true" outlineLevel="0" collapsed="false"/>
    <row r="81" customFormat="false" ht="14.25" hidden="false" customHeight="true" outlineLevel="0" collapsed="false">
      <c r="D81" s="19"/>
    </row>
    <row r="82" customFormat="false" ht="14.25" hidden="false" customHeight="true" outlineLevel="0" collapsed="false">
      <c r="D82" s="20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B3:H3"/>
    <mergeCell ref="B24:G25"/>
    <mergeCell ref="B47:G47"/>
    <mergeCell ref="D53:G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C1:I1000"/>
  <sheetViews>
    <sheetView showFormulas="false" showGridLines="true" showRowColHeaders="true" showZeros="true" rightToLeft="false" tabSelected="true" showOutlineSymbols="true" defaultGridColor="true" view="normal" topLeftCell="A39" colorId="64" zoomScale="90" zoomScaleNormal="90" zoomScalePageLayoutView="100" workbookViewId="0">
      <selection pane="topLeft" activeCell="M61" activeCellId="0" sqref="M6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8.71"/>
    <col collapsed="false" customWidth="true" hidden="false" outlineLevel="0" max="4" min="4" style="1" width="13.63"/>
    <col collapsed="false" customWidth="true" hidden="false" outlineLevel="0" max="5" min="5" style="1" width="13.15"/>
    <col collapsed="false" customWidth="true" hidden="false" outlineLevel="0" max="6" min="6" style="1" width="8.71"/>
    <col collapsed="false" customWidth="true" hidden="false" outlineLevel="0" max="7" min="7" style="1" width="13.63"/>
    <col collapsed="false" customWidth="true" hidden="false" outlineLevel="0" max="26" min="8" style="1" width="8.71"/>
  </cols>
  <sheetData>
    <row r="1" customFormat="false" ht="14.25" hidden="false" customHeight="true" outlineLevel="0" collapsed="false"/>
    <row r="2" customFormat="false" ht="14.25" hidden="false" customHeight="true" outlineLevel="0" collapsed="false">
      <c r="C2" s="21" t="s">
        <v>56</v>
      </c>
      <c r="D2" s="21"/>
      <c r="E2" s="21"/>
      <c r="F2" s="21"/>
      <c r="G2" s="21"/>
      <c r="H2" s="21"/>
    </row>
    <row r="3" customFormat="false" ht="14.25" hidden="false" customHeight="true" outlineLevel="0" collapsed="false"/>
    <row r="4" customFormat="false" ht="14.25" hidden="false" customHeight="true" outlineLevel="0" collapsed="false">
      <c r="C4" s="6" t="s">
        <v>57</v>
      </c>
      <c r="D4" s="6" t="s">
        <v>58</v>
      </c>
    </row>
    <row r="5" customFormat="false" ht="14.25" hidden="false" customHeight="true" outlineLevel="0" collapsed="false">
      <c r="C5" s="6" t="s">
        <v>59</v>
      </c>
      <c r="D5" s="22" t="n">
        <v>4222301042</v>
      </c>
    </row>
    <row r="6" customFormat="false" ht="14.25" hidden="false" customHeight="true" outlineLevel="0" collapsed="false">
      <c r="C6" s="6" t="s">
        <v>60</v>
      </c>
      <c r="D6" s="6" t="s">
        <v>61</v>
      </c>
    </row>
    <row r="7" customFormat="false" ht="14.25" hidden="false" customHeight="true" outlineLevel="0" collapsed="false"/>
    <row r="8" customFormat="false" ht="14.25" hidden="false" customHeight="true" outlineLevel="0" collapsed="false">
      <c r="C8" s="3" t="s">
        <v>62</v>
      </c>
    </row>
    <row r="9" customFormat="false" ht="14.25" hidden="false" customHeight="true" outlineLevel="0" collapsed="false"/>
    <row r="10" customFormat="false" ht="14.25" hidden="false" customHeight="true" outlineLevel="0" collapsed="false">
      <c r="C10" s="23" t="s">
        <v>2</v>
      </c>
      <c r="D10" s="23" t="s">
        <v>3</v>
      </c>
      <c r="E10" s="23" t="s">
        <v>4</v>
      </c>
      <c r="F10" s="23" t="s">
        <v>5</v>
      </c>
      <c r="G10" s="23" t="s">
        <v>6</v>
      </c>
      <c r="H10" s="23" t="s">
        <v>7</v>
      </c>
    </row>
    <row r="11" customFormat="false" ht="14.25" hidden="false" customHeight="true" outlineLevel="0" collapsed="false">
      <c r="C11" s="24" t="n">
        <v>1</v>
      </c>
      <c r="D11" s="24" t="s">
        <v>8</v>
      </c>
      <c r="E11" s="24" t="s">
        <v>9</v>
      </c>
      <c r="F11" s="24" t="s">
        <v>10</v>
      </c>
      <c r="G11" s="24" t="s">
        <v>11</v>
      </c>
      <c r="H11" s="24" t="s">
        <v>12</v>
      </c>
    </row>
    <row r="12" customFormat="false" ht="14.25" hidden="false" customHeight="true" outlineLevel="0" collapsed="false">
      <c r="C12" s="24" t="n">
        <v>2</v>
      </c>
      <c r="D12" s="24" t="s">
        <v>8</v>
      </c>
      <c r="E12" s="24" t="s">
        <v>9</v>
      </c>
      <c r="F12" s="24" t="s">
        <v>10</v>
      </c>
      <c r="G12" s="24" t="s">
        <v>13</v>
      </c>
      <c r="H12" s="24" t="s">
        <v>12</v>
      </c>
    </row>
    <row r="13" customFormat="false" ht="14.25" hidden="false" customHeight="true" outlineLevel="0" collapsed="false">
      <c r="C13" s="24" t="n">
        <v>3</v>
      </c>
      <c r="D13" s="24" t="s">
        <v>14</v>
      </c>
      <c r="E13" s="24" t="s">
        <v>9</v>
      </c>
      <c r="F13" s="24" t="s">
        <v>10</v>
      </c>
      <c r="G13" s="24" t="s">
        <v>11</v>
      </c>
      <c r="H13" s="24" t="s">
        <v>15</v>
      </c>
    </row>
    <row r="14" customFormat="false" ht="14.25" hidden="false" customHeight="true" outlineLevel="0" collapsed="false">
      <c r="C14" s="24" t="n">
        <v>4</v>
      </c>
      <c r="D14" s="24" t="s">
        <v>16</v>
      </c>
      <c r="E14" s="24" t="s">
        <v>17</v>
      </c>
      <c r="F14" s="24" t="s">
        <v>10</v>
      </c>
      <c r="G14" s="24" t="s">
        <v>11</v>
      </c>
      <c r="H14" s="24" t="s">
        <v>15</v>
      </c>
    </row>
    <row r="15" customFormat="false" ht="14.25" hidden="false" customHeight="true" outlineLevel="0" collapsed="false">
      <c r="C15" s="24" t="n">
        <v>5</v>
      </c>
      <c r="D15" s="24" t="s">
        <v>16</v>
      </c>
      <c r="E15" s="24" t="s">
        <v>18</v>
      </c>
      <c r="F15" s="24" t="s">
        <v>19</v>
      </c>
      <c r="G15" s="24" t="s">
        <v>11</v>
      </c>
      <c r="H15" s="24" t="s">
        <v>15</v>
      </c>
    </row>
    <row r="16" customFormat="false" ht="14.25" hidden="false" customHeight="true" outlineLevel="0" collapsed="false">
      <c r="C16" s="24" t="n">
        <v>6</v>
      </c>
      <c r="D16" s="24" t="s">
        <v>16</v>
      </c>
      <c r="E16" s="24" t="s">
        <v>18</v>
      </c>
      <c r="F16" s="24" t="s">
        <v>19</v>
      </c>
      <c r="G16" s="24" t="s">
        <v>13</v>
      </c>
      <c r="H16" s="24" t="s">
        <v>12</v>
      </c>
    </row>
    <row r="17" customFormat="false" ht="14.25" hidden="false" customHeight="true" outlineLevel="0" collapsed="false">
      <c r="C17" s="24" t="n">
        <v>7</v>
      </c>
      <c r="D17" s="24" t="s">
        <v>14</v>
      </c>
      <c r="E17" s="24" t="s">
        <v>20</v>
      </c>
      <c r="F17" s="24" t="s">
        <v>19</v>
      </c>
      <c r="G17" s="24" t="s">
        <v>13</v>
      </c>
      <c r="H17" s="24" t="s">
        <v>15</v>
      </c>
    </row>
    <row r="18" customFormat="false" ht="14.25" hidden="false" customHeight="true" outlineLevel="0" collapsed="false">
      <c r="C18" s="24" t="n">
        <v>8</v>
      </c>
      <c r="D18" s="24" t="s">
        <v>8</v>
      </c>
      <c r="E18" s="24" t="s">
        <v>17</v>
      </c>
      <c r="F18" s="24" t="s">
        <v>10</v>
      </c>
      <c r="G18" s="24" t="s">
        <v>11</v>
      </c>
      <c r="H18" s="24" t="s">
        <v>12</v>
      </c>
    </row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>
      <c r="C21" s="25" t="s">
        <v>63</v>
      </c>
      <c r="D21" s="26"/>
    </row>
    <row r="22" customFormat="false" ht="14.25" hidden="false" customHeight="true" outlineLevel="0" collapsed="false">
      <c r="C22" s="27" t="s">
        <v>64</v>
      </c>
      <c r="D22" s="27"/>
      <c r="E22" s="27"/>
      <c r="F22" s="27"/>
      <c r="G22" s="27"/>
      <c r="H22" s="27"/>
    </row>
    <row r="23" customFormat="false" ht="14.25" hidden="false" customHeight="true" outlineLevel="0" collapsed="false">
      <c r="C23" s="27"/>
      <c r="D23" s="27"/>
      <c r="E23" s="27"/>
      <c r="F23" s="27"/>
      <c r="G23" s="27"/>
      <c r="H23" s="27"/>
    </row>
    <row r="24" customFormat="false" ht="14.25" hidden="false" customHeight="true" outlineLevel="0" collapsed="false">
      <c r="C24" s="27"/>
      <c r="D24" s="27"/>
      <c r="E24" s="27"/>
      <c r="F24" s="27"/>
      <c r="G24" s="27"/>
      <c r="H24" s="27"/>
    </row>
    <row r="25" customFormat="false" ht="14.25" hidden="false" customHeight="true" outlineLevel="0" collapsed="false">
      <c r="C25" s="6" t="s">
        <v>65</v>
      </c>
      <c r="D25" s="6"/>
    </row>
    <row r="26" customFormat="false" ht="14.25" hidden="false" customHeight="true" outlineLevel="0" collapsed="false">
      <c r="C26" s="6" t="s">
        <v>66</v>
      </c>
      <c r="D26" s="6"/>
    </row>
    <row r="27" customFormat="false" ht="14.25" hidden="false" customHeight="true" outlineLevel="0" collapsed="false">
      <c r="C27" s="6" t="s">
        <v>67</v>
      </c>
      <c r="D27" s="6"/>
    </row>
    <row r="28" customFormat="false" ht="14.25" hidden="false" customHeight="true" outlineLevel="0" collapsed="false">
      <c r="C28" s="6" t="s">
        <v>68</v>
      </c>
      <c r="D28" s="6"/>
    </row>
    <row r="29" customFormat="false" ht="14.25" hidden="false" customHeight="true" outlineLevel="0" collapsed="false"/>
    <row r="30" customFormat="false" ht="14.25" hidden="false" customHeight="true" outlineLevel="0" collapsed="false">
      <c r="C30" s="26" t="s">
        <v>69</v>
      </c>
      <c r="D30" s="6"/>
      <c r="E30" s="6"/>
      <c r="F30" s="6"/>
      <c r="G30" s="6"/>
      <c r="H30" s="6"/>
    </row>
    <row r="31" customFormat="false" ht="14.25" hidden="false" customHeight="true" outlineLevel="0" collapsed="false">
      <c r="C31" s="6" t="s">
        <v>70</v>
      </c>
      <c r="D31" s="6"/>
      <c r="E31" s="6"/>
      <c r="F31" s="6"/>
      <c r="G31" s="6"/>
      <c r="H31" s="6"/>
    </row>
    <row r="32" customFormat="false" ht="14.25" hidden="false" customHeight="true" outlineLevel="0" collapsed="false">
      <c r="C32" s="6" t="s">
        <v>71</v>
      </c>
      <c r="D32" s="6"/>
      <c r="E32" s="6"/>
      <c r="F32" s="6"/>
      <c r="G32" s="6"/>
      <c r="H32" s="6"/>
    </row>
    <row r="33" customFormat="false" ht="14.25" hidden="false" customHeight="true" outlineLevel="0" collapsed="false">
      <c r="C33" s="6" t="s">
        <v>72</v>
      </c>
      <c r="D33" s="6"/>
      <c r="E33" s="6"/>
      <c r="F33" s="6"/>
      <c r="G33" s="6"/>
      <c r="H33" s="6"/>
    </row>
    <row r="34" customFormat="false" ht="14.25" hidden="false" customHeight="true" outlineLevel="0" collapsed="false">
      <c r="C34" s="6" t="s">
        <v>73</v>
      </c>
      <c r="D34" s="6"/>
      <c r="E34" s="6"/>
      <c r="F34" s="6"/>
      <c r="G34" s="6"/>
      <c r="H34" s="6"/>
    </row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>
      <c r="C37" s="6" t="s">
        <v>26</v>
      </c>
      <c r="G37" s="6" t="s">
        <v>27</v>
      </c>
    </row>
    <row r="38" customFormat="false" ht="14.25" hidden="false" customHeight="true" outlineLevel="0" collapsed="false"/>
    <row r="39" customFormat="false" ht="14.25" hidden="false" customHeight="true" outlineLevel="0" collapsed="false">
      <c r="C39" s="5" t="s">
        <v>3</v>
      </c>
      <c r="D39" s="5" t="s">
        <v>28</v>
      </c>
      <c r="E39" s="5" t="s">
        <v>74</v>
      </c>
      <c r="G39" s="5" t="s">
        <v>4</v>
      </c>
      <c r="H39" s="5" t="s">
        <v>28</v>
      </c>
      <c r="I39" s="5" t="s">
        <v>74</v>
      </c>
    </row>
    <row r="40" customFormat="false" ht="14.25" hidden="false" customHeight="true" outlineLevel="0" collapsed="false">
      <c r="C40" s="5" t="s">
        <v>8</v>
      </c>
      <c r="D40" s="5" t="n">
        <v>0</v>
      </c>
      <c r="E40" s="5" t="n">
        <v>3</v>
      </c>
      <c r="G40" s="10" t="s">
        <v>9</v>
      </c>
      <c r="H40" s="5" t="n">
        <v>1</v>
      </c>
      <c r="I40" s="5" t="n">
        <v>2</v>
      </c>
    </row>
    <row r="41" customFormat="false" ht="14.25" hidden="false" customHeight="true" outlineLevel="0" collapsed="false">
      <c r="C41" s="5" t="s">
        <v>16</v>
      </c>
      <c r="D41" s="5" t="n">
        <v>2</v>
      </c>
      <c r="E41" s="5" t="n">
        <v>1</v>
      </c>
      <c r="G41" s="10" t="s">
        <v>17</v>
      </c>
      <c r="H41" s="5" t="n">
        <v>1</v>
      </c>
      <c r="I41" s="5" t="n">
        <v>1</v>
      </c>
    </row>
    <row r="42" customFormat="false" ht="14.25" hidden="false" customHeight="true" outlineLevel="0" collapsed="false">
      <c r="C42" s="5" t="s">
        <v>14</v>
      </c>
      <c r="D42" s="5" t="n">
        <v>2</v>
      </c>
      <c r="E42" s="5" t="n">
        <v>0</v>
      </c>
      <c r="G42" s="10" t="s">
        <v>18</v>
      </c>
      <c r="H42" s="5" t="n">
        <v>2</v>
      </c>
      <c r="I42" s="5" t="n">
        <v>1</v>
      </c>
    </row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>
      <c r="C45" s="11" t="s">
        <v>30</v>
      </c>
      <c r="G45" s="6" t="s">
        <v>31</v>
      </c>
    </row>
    <row r="46" customFormat="false" ht="14.25" hidden="false" customHeight="true" outlineLevel="0" collapsed="false"/>
    <row r="47" customFormat="false" ht="14.25" hidden="false" customHeight="true" outlineLevel="0" collapsed="false">
      <c r="C47" s="10" t="s">
        <v>5</v>
      </c>
      <c r="D47" s="10" t="s">
        <v>28</v>
      </c>
      <c r="E47" s="10" t="s">
        <v>74</v>
      </c>
      <c r="G47" s="10" t="s">
        <v>6</v>
      </c>
      <c r="H47" s="10" t="s">
        <v>28</v>
      </c>
      <c r="I47" s="10" t="s">
        <v>74</v>
      </c>
    </row>
    <row r="48" customFormat="false" ht="14.25" hidden="false" customHeight="true" outlineLevel="0" collapsed="false">
      <c r="C48" s="10" t="s">
        <v>10</v>
      </c>
      <c r="D48" s="5" t="n">
        <v>2</v>
      </c>
      <c r="E48" s="5" t="n">
        <v>3</v>
      </c>
      <c r="G48" s="10" t="s">
        <v>11</v>
      </c>
      <c r="H48" s="5" t="n">
        <v>3</v>
      </c>
      <c r="I48" s="5" t="n">
        <v>2</v>
      </c>
    </row>
    <row r="49" customFormat="false" ht="14.25" hidden="false" customHeight="true" outlineLevel="0" collapsed="false">
      <c r="C49" s="10" t="s">
        <v>19</v>
      </c>
      <c r="D49" s="5" t="n">
        <v>2</v>
      </c>
      <c r="E49" s="5" t="n">
        <v>1</v>
      </c>
      <c r="G49" s="10" t="s">
        <v>13</v>
      </c>
      <c r="H49" s="5" t="n">
        <v>1</v>
      </c>
      <c r="I49" s="5" t="n">
        <v>2</v>
      </c>
    </row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>
      <c r="C52" s="1" t="s">
        <v>75</v>
      </c>
    </row>
    <row r="53" customFormat="false" ht="14.25" hidden="false" customHeight="true" outlineLevel="0" collapsed="false">
      <c r="C53" s="3" t="s">
        <v>76</v>
      </c>
      <c r="D53" s="3"/>
      <c r="E53" s="3"/>
      <c r="F53" s="3"/>
      <c r="G53" s="3"/>
      <c r="H53" s="3"/>
      <c r="I53" s="3"/>
    </row>
    <row r="54" customFormat="false" ht="14.25" hidden="false" customHeight="true" outlineLevel="0" collapsed="false"/>
    <row r="55" customFormat="false" ht="14.25" hidden="false" customHeight="true" outlineLevel="0" collapsed="false">
      <c r="C55" s="6" t="s">
        <v>37</v>
      </c>
      <c r="D55" s="7" t="n">
        <f aca="false">4/8</f>
        <v>0.5</v>
      </c>
    </row>
    <row r="56" customFormat="false" ht="14.25" hidden="false" customHeight="true" outlineLevel="0" collapsed="false">
      <c r="C56" s="6" t="s">
        <v>38</v>
      </c>
      <c r="D56" s="6" t="n">
        <v>0</v>
      </c>
      <c r="E56" s="13" t="s">
        <v>39</v>
      </c>
      <c r="F56" s="13"/>
      <c r="G56" s="13"/>
      <c r="H56" s="13"/>
      <c r="I56" s="7" t="n">
        <f aca="false">1/8</f>
        <v>0.125</v>
      </c>
    </row>
    <row r="57" customFormat="false" ht="14.25" hidden="false" customHeight="true" outlineLevel="0" collapsed="false">
      <c r="C57" s="6" t="s">
        <v>40</v>
      </c>
      <c r="D57" s="14" t="n">
        <f aca="false">2/4</f>
        <v>0.5</v>
      </c>
    </row>
    <row r="58" customFormat="false" ht="14.25" hidden="false" customHeight="true" outlineLevel="0" collapsed="false">
      <c r="C58" s="6" t="s">
        <v>41</v>
      </c>
      <c r="D58" s="14" t="n">
        <f aca="false">2/4</f>
        <v>0.5</v>
      </c>
    </row>
    <row r="59" customFormat="false" ht="14.25" hidden="false" customHeight="true" outlineLevel="0" collapsed="false">
      <c r="C59" s="6" t="s">
        <v>77</v>
      </c>
      <c r="D59" s="7" t="n">
        <f aca="false">3/4</f>
        <v>0.75</v>
      </c>
    </row>
    <row r="60" customFormat="false" ht="14.25" hidden="false" customHeight="true" outlineLevel="0" collapsed="false"/>
    <row r="61" customFormat="false" ht="14.25" hidden="false" customHeight="true" outlineLevel="0" collapsed="false">
      <c r="C61" s="6" t="s">
        <v>43</v>
      </c>
      <c r="D61" s="15" t="n">
        <f aca="false">D55*I56*D57*D58*D59</f>
        <v>0.01171875</v>
      </c>
    </row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>
      <c r="C64" s="3" t="s">
        <v>78</v>
      </c>
      <c r="D64" s="3"/>
      <c r="E64" s="3"/>
      <c r="F64" s="3"/>
      <c r="G64" s="3"/>
      <c r="H64" s="3"/>
    </row>
    <row r="65" customFormat="false" ht="14.25" hidden="false" customHeight="true" outlineLevel="0" collapsed="false"/>
    <row r="66" customFormat="false" ht="14.25" hidden="false" customHeight="true" outlineLevel="0" collapsed="false">
      <c r="C66" s="6" t="s">
        <v>45</v>
      </c>
      <c r="D66" s="7" t="n">
        <f aca="false">4/8</f>
        <v>0.5</v>
      </c>
    </row>
    <row r="67" customFormat="false" ht="14.25" hidden="false" customHeight="true" outlineLevel="0" collapsed="false">
      <c r="C67" s="6" t="s">
        <v>46</v>
      </c>
      <c r="D67" s="7" t="n">
        <f aca="false">3/4</f>
        <v>0.75</v>
      </c>
    </row>
    <row r="68" customFormat="false" ht="14.25" hidden="false" customHeight="true" outlineLevel="0" collapsed="false">
      <c r="C68" s="6" t="s">
        <v>47</v>
      </c>
      <c r="D68" s="7" t="n">
        <f aca="false">1/4</f>
        <v>0.25</v>
      </c>
    </row>
    <row r="69" customFormat="false" ht="14.25" hidden="false" customHeight="true" outlineLevel="0" collapsed="false">
      <c r="C69" s="6" t="s">
        <v>48</v>
      </c>
      <c r="D69" s="7" t="n">
        <f aca="false">3/4</f>
        <v>0.75</v>
      </c>
    </row>
    <row r="70" customFormat="false" ht="14.25" hidden="false" customHeight="true" outlineLevel="0" collapsed="false">
      <c r="C70" s="6" t="s">
        <v>79</v>
      </c>
      <c r="D70" s="7" t="n">
        <f aca="false">2/4</f>
        <v>0.5</v>
      </c>
    </row>
    <row r="71" customFormat="false" ht="14.25" hidden="false" customHeight="true" outlineLevel="0" collapsed="false"/>
    <row r="72" customFormat="false" ht="14.25" hidden="false" customHeight="true" outlineLevel="0" collapsed="false">
      <c r="C72" s="6" t="s">
        <v>50</v>
      </c>
      <c r="D72" s="15" t="n">
        <f aca="false">D66*D67*D68*D69*D70</f>
        <v>0.03515625</v>
      </c>
    </row>
    <row r="73" customFormat="false" ht="14.25" hidden="false" customHeight="true" outlineLevel="0" collapsed="false"/>
    <row r="74" customFormat="false" ht="14.25" hidden="false" customHeight="true" outlineLevel="0" collapsed="false">
      <c r="C74" s="3" t="s">
        <v>51</v>
      </c>
    </row>
    <row r="75" customFormat="false" ht="14.25" hidden="false" customHeight="true" outlineLevel="0" collapsed="false">
      <c r="C75" s="6" t="s">
        <v>53</v>
      </c>
    </row>
    <row r="76" customFormat="false" ht="14.25" hidden="false" customHeight="true" outlineLevel="0" collapsed="false">
      <c r="C76" s="6"/>
    </row>
    <row r="77" customFormat="false" ht="14.25" hidden="false" customHeight="true" outlineLevel="0" collapsed="false">
      <c r="C77" s="6" t="s">
        <v>65</v>
      </c>
    </row>
    <row r="78" customFormat="false" ht="14.25" hidden="false" customHeight="true" outlineLevel="0" collapsed="false">
      <c r="C78" s="6" t="s">
        <v>66</v>
      </c>
    </row>
    <row r="79" customFormat="false" ht="14.25" hidden="false" customHeight="true" outlineLevel="0" collapsed="false">
      <c r="C79" s="6" t="s">
        <v>67</v>
      </c>
    </row>
    <row r="80" customFormat="false" ht="14.25" hidden="false" customHeight="true" outlineLevel="0" collapsed="false">
      <c r="C80" s="6" t="s">
        <v>68</v>
      </c>
    </row>
    <row r="81" customFormat="false" ht="14.25" hidden="false" customHeight="true" outlineLevel="0" collapsed="false">
      <c r="C81" s="6" t="s">
        <v>55</v>
      </c>
    </row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C2:H2"/>
    <mergeCell ref="C22:H24"/>
    <mergeCell ref="E56:H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2025-04-15T08:45:59Z</dcterms:created>
  <dc:creator>M S I</dc:creator>
  <dc:description/>
  <dc:language>en-US</dc:language>
  <cp:lastModifiedBy/>
  <dcterms:modified xsi:type="dcterms:W3CDTF">2026-04-21T15:26:15Z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