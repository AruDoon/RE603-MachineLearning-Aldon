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ta" sheetId="1" state="visible" r:id="rId3"/>
    <sheet name="Menentukan Root" sheetId="2" state="visible" r:id="rId4"/>
    <sheet name="Menentukan Cabang" sheetId="3" state="visible" r:id="rId5"/>
    <sheet name="soal" sheetId="4" state="visible" r:id="rId6"/>
    <sheet name="Menentukan Root_2" sheetId="5" state="visible" r:id="rId7"/>
    <sheet name="Menentukan Cabang_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<sst xmlns="http://schemas.openxmlformats.org/spreadsheetml/2006/main" count="413" uniqueCount="72">
  <si>
    <t xml:space="preserve">Day</t>
  </si>
  <si>
    <t xml:space="preserve">Outlook</t>
  </si>
  <si>
    <t xml:space="preserve">Temperature</t>
  </si>
  <si>
    <t xml:space="preserve">Humidity</t>
  </si>
  <si>
    <t xml:space="preserve">Wind</t>
  </si>
  <si>
    <t xml:space="preserve">Play Ball</t>
  </si>
  <si>
    <t xml:space="preserve">Sunny</t>
  </si>
  <si>
    <t xml:space="preserve">Hot</t>
  </si>
  <si>
    <t xml:space="preserve">High</t>
  </si>
  <si>
    <t xml:space="preserve">Weak</t>
  </si>
  <si>
    <t xml:space="preserve">No</t>
  </si>
  <si>
    <t xml:space="preserve">Strong</t>
  </si>
  <si>
    <t xml:space="preserve">Cloudy</t>
  </si>
  <si>
    <t xml:space="preserve">Yes</t>
  </si>
  <si>
    <t xml:space="preserve">Rain</t>
  </si>
  <si>
    <t xml:space="preserve">Mild</t>
  </si>
  <si>
    <t xml:space="preserve">Cool</t>
  </si>
  <si>
    <t xml:space="preserve">Normal</t>
  </si>
  <si>
    <t xml:space="preserve">Cool </t>
  </si>
  <si>
    <t xml:space="preserve">Step 1: Hitung Entropy Total</t>
  </si>
  <si>
    <t xml:space="preserve">Entropy Total</t>
  </si>
  <si>
    <t xml:space="preserve">Entropy</t>
  </si>
  <si>
    <t xml:space="preserve">Step 2: Hitung Information Gain Outlook</t>
  </si>
  <si>
    <t xml:space="preserve">Total</t>
  </si>
  <si>
    <t xml:space="preserve">Entropy </t>
  </si>
  <si>
    <t xml:space="preserve">Rainy</t>
  </si>
  <si>
    <t xml:space="preserve">Entropy Gabungan</t>
  </si>
  <si>
    <t xml:space="preserve">IG</t>
  </si>
  <si>
    <t xml:space="preserve">Step 3: Hitung Information Gain Temperature</t>
  </si>
  <si>
    <t xml:space="preserve">Step 4: Hitung Information Gain Humidity</t>
  </si>
  <si>
    <t xml:space="preserve">Step 5: Hitung Information Gain Windy</t>
  </si>
  <si>
    <t xml:space="preserve">Windy</t>
  </si>
  <si>
    <t xml:space="preserve">Step 6: Hitung Entropy Total Outlook Sunny</t>
  </si>
  <si>
    <t xml:space="preserve">Step 7: Hitung Information Gain Outlook sunny-Humidity</t>
  </si>
  <si>
    <t xml:space="preserve"> </t>
  </si>
  <si>
    <t xml:space="preserve">Step 8: Hitung Entropy Total Outlook Rainy</t>
  </si>
  <si>
    <t xml:space="preserve">Step 8: Hitung Information Gain Outlook Rainy-Wind</t>
  </si>
  <si>
    <t xml:space="preserve">Nama</t>
  </si>
  <si>
    <t xml:space="preserve">Usia</t>
  </si>
  <si>
    <t xml:space="preserve">Berat</t>
  </si>
  <si>
    <t xml:space="preserve">Kelamin</t>
  </si>
  <si>
    <t xml:space="preserve">Hipertensi</t>
  </si>
  <si>
    <t xml:space="preserve">Dimaz</t>
  </si>
  <si>
    <t xml:space="preserve">muda</t>
  </si>
  <si>
    <t xml:space="preserve">overweight</t>
  </si>
  <si>
    <t xml:space="preserve">pria</t>
  </si>
  <si>
    <t xml:space="preserve">ya</t>
  </si>
  <si>
    <t xml:space="preserve">Emi</t>
  </si>
  <si>
    <t xml:space="preserve">underweight</t>
  </si>
  <si>
    <t xml:space="preserve">tidak</t>
  </si>
  <si>
    <t xml:space="preserve">Josua</t>
  </si>
  <si>
    <t xml:space="preserve">average</t>
  </si>
  <si>
    <t xml:space="preserve">wanita</t>
  </si>
  <si>
    <t xml:space="preserve">Rendy</t>
  </si>
  <si>
    <t xml:space="preserve">tua</t>
  </si>
  <si>
    <t xml:space="preserve">Arya</t>
  </si>
  <si>
    <t xml:space="preserve">Besli</t>
  </si>
  <si>
    <t xml:space="preserve">Shidiq</t>
  </si>
  <si>
    <t xml:space="preserve">Ilham</t>
  </si>
  <si>
    <t xml:space="preserve">Step 2: Hitung Information Gain Usia</t>
  </si>
  <si>
    <t xml:space="preserve">Muda</t>
  </si>
  <si>
    <t xml:space="preserve">Tua</t>
  </si>
  <si>
    <t xml:space="preserve">Step 3: Hitung Information Gain Berat</t>
  </si>
  <si>
    <t xml:space="preserve">Overweight</t>
  </si>
  <si>
    <t xml:space="preserve">Underweight</t>
  </si>
  <si>
    <t xml:space="preserve">Average</t>
  </si>
  <si>
    <t xml:space="preserve">Step 4: Hitung Information Gain Kelamin</t>
  </si>
  <si>
    <t xml:space="preserve">Pria</t>
  </si>
  <si>
    <t xml:space="preserve">Wanita</t>
  </si>
  <si>
    <t xml:space="preserve">Step 6: Hitung Entropy Total Berat Overweight</t>
  </si>
  <si>
    <t xml:space="preserve">Step 7: Hitung Information Gain Overweight-Usia</t>
  </si>
  <si>
    <t xml:space="preserve">Step 7: Hitung Information Gain Overweight-Tua-Kelamin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</si>
</sst>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2"/>
      <charset val="1"/>
    </font>
    <font>
      <sz val="24"/>
      <color rgb="FF000000"/>
      <name val="Calibri"/>
      <family val="2"/>
      <charset val="1"/>
    </font>
    <font>
      <sz val="24"/>
      <color rgb="FFFFC000"/>
      <name val="Calibri"/>
      <family val="2"/>
      <charset val="1"/>
    </font>
    <font>
      <sz val="24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0D8E8"/>
        <bgColor rgb="FFE9ED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E9EDF4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theme="5" tint="0.5999"/>
        <bgColor rgb="FFFF99CC"/>
      </patternFill>
    </fill>
    <fill>
      <patternFill patternType="solid">
        <fgColor theme="6" tint="0.3999"/>
        <bgColor rgb="FFD0D8E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6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5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7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8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9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E9EDF4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9B8"/>
      <rgbColor rgb="FF3366FF"/>
      <rgbColor rgb="FF33CCCC"/>
      <rgbColor rgb="FF99CC0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5" activeCellId="0" sqref="E15"/>
    </sheetView>
  </sheetViews>
  <sheetFormatPr defaultColWidth="30.6328125" defaultRowHeight="14.25" zeroHeight="false" outlineLevelRow="0" outlineLevelCol="0"/>
  <sheetData>
    <row r="1" customFormat="false" ht="30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5</v>
      </c>
      <c r="M1" s="1" t="s">
        <v>0</v>
      </c>
      <c r="N1" s="1" t="s">
        <v>1</v>
      </c>
      <c r="O1" s="1" t="s">
        <v>3</v>
      </c>
      <c r="P1" s="1" t="s">
        <v>5</v>
      </c>
    </row>
    <row r="2" customFormat="false" ht="30.55" hidden="false" customHeight="false" outlineLevel="0" collapsed="false">
      <c r="A2" s="2" t="n">
        <v>1</v>
      </c>
      <c r="B2" s="3" t="s">
        <v>6</v>
      </c>
      <c r="C2" s="2" t="s">
        <v>7</v>
      </c>
      <c r="D2" s="4" t="s">
        <v>8</v>
      </c>
      <c r="E2" s="2" t="s">
        <v>9</v>
      </c>
      <c r="F2" s="3" t="s">
        <v>10</v>
      </c>
      <c r="H2" s="2" t="n">
        <v>1</v>
      </c>
      <c r="I2" s="2" t="s">
        <v>6</v>
      </c>
      <c r="J2" s="2" t="s">
        <v>7</v>
      </c>
      <c r="K2" s="2" t="s">
        <v>10</v>
      </c>
      <c r="M2" s="2" t="n">
        <v>1</v>
      </c>
      <c r="N2" s="2" t="s">
        <v>6</v>
      </c>
      <c r="O2" s="2" t="s">
        <v>8</v>
      </c>
      <c r="P2" s="2" t="s">
        <v>10</v>
      </c>
    </row>
    <row r="3" customFormat="false" ht="30.55" hidden="false" customHeight="false" outlineLevel="0" collapsed="false">
      <c r="A3" s="5" t="n">
        <v>2</v>
      </c>
      <c r="B3" s="6" t="s">
        <v>6</v>
      </c>
      <c r="C3" s="5" t="s">
        <v>7</v>
      </c>
      <c r="D3" s="7" t="s">
        <v>8</v>
      </c>
      <c r="E3" s="5" t="s">
        <v>11</v>
      </c>
      <c r="F3" s="6" t="s">
        <v>10</v>
      </c>
      <c r="H3" s="5" t="n">
        <v>2</v>
      </c>
      <c r="I3" s="5" t="s">
        <v>6</v>
      </c>
      <c r="J3" s="5" t="s">
        <v>7</v>
      </c>
      <c r="K3" s="5" t="s">
        <v>10</v>
      </c>
      <c r="M3" s="5" t="n">
        <v>2</v>
      </c>
      <c r="N3" s="5" t="s">
        <v>6</v>
      </c>
      <c r="O3" s="5" t="s">
        <v>8</v>
      </c>
      <c r="P3" s="5" t="s">
        <v>10</v>
      </c>
    </row>
    <row r="4" customFormat="false" ht="30.55" hidden="false" customHeight="false" outlineLevel="0" collapsed="false">
      <c r="A4" s="8" t="n">
        <v>3</v>
      </c>
      <c r="B4" s="8" t="s">
        <v>12</v>
      </c>
      <c r="C4" s="8" t="s">
        <v>7</v>
      </c>
      <c r="D4" s="8" t="s">
        <v>8</v>
      </c>
      <c r="E4" s="8" t="s">
        <v>9</v>
      </c>
      <c r="F4" s="8" t="s">
        <v>13</v>
      </c>
      <c r="H4" s="9" t="n">
        <v>3</v>
      </c>
      <c r="I4" s="9" t="s">
        <v>12</v>
      </c>
      <c r="J4" s="9" t="s">
        <v>7</v>
      </c>
      <c r="K4" s="9" t="s">
        <v>13</v>
      </c>
      <c r="M4" s="9" t="n">
        <v>3</v>
      </c>
      <c r="N4" s="9" t="s">
        <v>12</v>
      </c>
      <c r="O4" s="9" t="s">
        <v>8</v>
      </c>
      <c r="P4" s="9" t="s">
        <v>13</v>
      </c>
    </row>
    <row r="5" customFormat="false" ht="30.55" hidden="false" customHeight="false" outlineLevel="0" collapsed="false">
      <c r="A5" s="5" t="n">
        <v>4</v>
      </c>
      <c r="B5" s="10" t="s">
        <v>14</v>
      </c>
      <c r="C5" s="5" t="s">
        <v>15</v>
      </c>
      <c r="D5" s="5" t="s">
        <v>8</v>
      </c>
      <c r="E5" s="11" t="s">
        <v>9</v>
      </c>
      <c r="F5" s="5" t="s">
        <v>13</v>
      </c>
      <c r="H5" s="5" t="n">
        <v>4</v>
      </c>
      <c r="I5" s="12" t="s">
        <v>14</v>
      </c>
      <c r="J5" s="12" t="s">
        <v>15</v>
      </c>
      <c r="K5" s="12" t="s">
        <v>13</v>
      </c>
      <c r="M5" s="5" t="n">
        <v>4</v>
      </c>
      <c r="N5" s="12" t="s">
        <v>14</v>
      </c>
      <c r="O5" s="12" t="s">
        <v>8</v>
      </c>
      <c r="P5" s="12" t="s">
        <v>13</v>
      </c>
    </row>
    <row r="6" customFormat="false" ht="30.55" hidden="false" customHeight="false" outlineLevel="0" collapsed="false">
      <c r="A6" s="8" t="n">
        <v>5</v>
      </c>
      <c r="B6" s="10" t="s">
        <v>14</v>
      </c>
      <c r="C6" s="8" t="s">
        <v>16</v>
      </c>
      <c r="D6" s="8" t="s">
        <v>17</v>
      </c>
      <c r="E6" s="11" t="s">
        <v>9</v>
      </c>
      <c r="F6" s="8" t="s">
        <v>13</v>
      </c>
      <c r="H6" s="8" t="n">
        <v>5</v>
      </c>
      <c r="I6" s="13" t="s">
        <v>14</v>
      </c>
      <c r="J6" s="13" t="s">
        <v>16</v>
      </c>
      <c r="K6" s="13" t="s">
        <v>13</v>
      </c>
      <c r="M6" s="8" t="n">
        <v>5</v>
      </c>
      <c r="N6" s="13" t="s">
        <v>14</v>
      </c>
      <c r="O6" s="13" t="s">
        <v>17</v>
      </c>
      <c r="P6" s="13" t="s">
        <v>13</v>
      </c>
    </row>
    <row r="7" customFormat="false" ht="30.55" hidden="false" customHeight="false" outlineLevel="0" collapsed="false">
      <c r="A7" s="5" t="n">
        <v>6</v>
      </c>
      <c r="B7" s="10" t="s">
        <v>14</v>
      </c>
      <c r="C7" s="5" t="s">
        <v>16</v>
      </c>
      <c r="D7" s="5" t="s">
        <v>17</v>
      </c>
      <c r="E7" s="11" t="s">
        <v>11</v>
      </c>
      <c r="F7" s="5" t="s">
        <v>10</v>
      </c>
      <c r="H7" s="5" t="n">
        <v>6</v>
      </c>
      <c r="I7" s="12" t="s">
        <v>14</v>
      </c>
      <c r="J7" s="12" t="s">
        <v>16</v>
      </c>
      <c r="K7" s="12" t="s">
        <v>10</v>
      </c>
      <c r="M7" s="5" t="n">
        <v>6</v>
      </c>
      <c r="N7" s="12" t="s">
        <v>14</v>
      </c>
      <c r="O7" s="12" t="s">
        <v>17</v>
      </c>
      <c r="P7" s="12" t="s">
        <v>10</v>
      </c>
    </row>
    <row r="8" customFormat="false" ht="30.55" hidden="false" customHeight="false" outlineLevel="0" collapsed="false">
      <c r="A8" s="8" t="n">
        <v>7</v>
      </c>
      <c r="B8" s="8" t="s">
        <v>12</v>
      </c>
      <c r="C8" s="8" t="s">
        <v>18</v>
      </c>
      <c r="D8" s="8" t="s">
        <v>17</v>
      </c>
      <c r="E8" s="8" t="s">
        <v>11</v>
      </c>
      <c r="F8" s="8" t="s">
        <v>13</v>
      </c>
      <c r="H8" s="9" t="n">
        <v>7</v>
      </c>
      <c r="I8" s="9" t="s">
        <v>12</v>
      </c>
      <c r="J8" s="9" t="s">
        <v>18</v>
      </c>
      <c r="K8" s="9" t="s">
        <v>13</v>
      </c>
      <c r="M8" s="9" t="n">
        <v>7</v>
      </c>
      <c r="N8" s="9" t="s">
        <v>12</v>
      </c>
      <c r="O8" s="9" t="s">
        <v>17</v>
      </c>
      <c r="P8" s="9" t="s">
        <v>13</v>
      </c>
    </row>
    <row r="9" customFormat="false" ht="30.55" hidden="false" customHeight="false" outlineLevel="0" collapsed="false">
      <c r="A9" s="5" t="n">
        <v>8</v>
      </c>
      <c r="B9" s="6" t="s">
        <v>6</v>
      </c>
      <c r="C9" s="5" t="s">
        <v>15</v>
      </c>
      <c r="D9" s="7" t="s">
        <v>8</v>
      </c>
      <c r="E9" s="5" t="s">
        <v>9</v>
      </c>
      <c r="F9" s="6" t="s">
        <v>10</v>
      </c>
      <c r="H9" s="5" t="n">
        <v>8</v>
      </c>
      <c r="I9" s="5" t="s">
        <v>6</v>
      </c>
      <c r="J9" s="5" t="s">
        <v>15</v>
      </c>
      <c r="K9" s="5" t="s">
        <v>10</v>
      </c>
      <c r="M9" s="5" t="n">
        <v>8</v>
      </c>
      <c r="N9" s="5" t="s">
        <v>6</v>
      </c>
      <c r="O9" s="5" t="s">
        <v>8</v>
      </c>
      <c r="P9" s="5" t="s">
        <v>10</v>
      </c>
    </row>
    <row r="10" customFormat="false" ht="30.55" hidden="false" customHeight="false" outlineLevel="0" collapsed="false">
      <c r="A10" s="8" t="n">
        <v>9</v>
      </c>
      <c r="B10" s="6" t="s">
        <v>6</v>
      </c>
      <c r="C10" s="8" t="s">
        <v>16</v>
      </c>
      <c r="D10" s="7" t="s">
        <v>17</v>
      </c>
      <c r="E10" s="8" t="s">
        <v>9</v>
      </c>
      <c r="F10" s="6" t="s">
        <v>13</v>
      </c>
      <c r="H10" s="8" t="n">
        <v>9</v>
      </c>
      <c r="I10" s="8" t="s">
        <v>6</v>
      </c>
      <c r="J10" s="8" t="s">
        <v>16</v>
      </c>
      <c r="K10" s="8" t="s">
        <v>13</v>
      </c>
      <c r="M10" s="8" t="n">
        <v>9</v>
      </c>
      <c r="N10" s="8" t="s">
        <v>6</v>
      </c>
      <c r="O10" s="8" t="s">
        <v>17</v>
      </c>
      <c r="P10" s="8" t="s">
        <v>13</v>
      </c>
    </row>
    <row r="11" customFormat="false" ht="30.55" hidden="false" customHeight="false" outlineLevel="0" collapsed="false">
      <c r="A11" s="5" t="n">
        <v>10</v>
      </c>
      <c r="B11" s="10" t="s">
        <v>14</v>
      </c>
      <c r="C11" s="5" t="s">
        <v>15</v>
      </c>
      <c r="D11" s="5" t="s">
        <v>17</v>
      </c>
      <c r="E11" s="11" t="s">
        <v>9</v>
      </c>
      <c r="F11" s="5" t="s">
        <v>13</v>
      </c>
      <c r="H11" s="5" t="n">
        <v>10</v>
      </c>
      <c r="I11" s="12" t="s">
        <v>14</v>
      </c>
      <c r="J11" s="12" t="s">
        <v>15</v>
      </c>
      <c r="K11" s="12" t="s">
        <v>13</v>
      </c>
      <c r="M11" s="5" t="n">
        <v>10</v>
      </c>
      <c r="N11" s="12" t="s">
        <v>14</v>
      </c>
      <c r="O11" s="12" t="s">
        <v>17</v>
      </c>
      <c r="P11" s="12" t="s">
        <v>13</v>
      </c>
    </row>
    <row r="12" customFormat="false" ht="30.55" hidden="false" customHeight="false" outlineLevel="0" collapsed="false">
      <c r="A12" s="8" t="n">
        <v>11</v>
      </c>
      <c r="B12" s="6" t="s">
        <v>6</v>
      </c>
      <c r="C12" s="8" t="s">
        <v>15</v>
      </c>
      <c r="D12" s="7" t="s">
        <v>17</v>
      </c>
      <c r="E12" s="8" t="s">
        <v>11</v>
      </c>
      <c r="F12" s="6" t="s">
        <v>13</v>
      </c>
      <c r="H12" s="8" t="n">
        <v>11</v>
      </c>
      <c r="I12" s="8" t="s">
        <v>6</v>
      </c>
      <c r="J12" s="8" t="s">
        <v>15</v>
      </c>
      <c r="K12" s="8" t="s">
        <v>13</v>
      </c>
      <c r="M12" s="8" t="n">
        <v>11</v>
      </c>
      <c r="N12" s="8" t="s">
        <v>6</v>
      </c>
      <c r="O12" s="8" t="s">
        <v>17</v>
      </c>
      <c r="P12" s="8" t="s">
        <v>13</v>
      </c>
    </row>
    <row r="13" customFormat="false" ht="30.55" hidden="false" customHeight="false" outlineLevel="0" collapsed="false">
      <c r="A13" s="5" t="n">
        <v>12</v>
      </c>
      <c r="B13" s="5" t="s">
        <v>12</v>
      </c>
      <c r="C13" s="5" t="s">
        <v>15</v>
      </c>
      <c r="D13" s="5" t="s">
        <v>8</v>
      </c>
      <c r="E13" s="5" t="s">
        <v>11</v>
      </c>
      <c r="F13" s="5" t="s">
        <v>13</v>
      </c>
      <c r="H13" s="14" t="n">
        <v>12</v>
      </c>
      <c r="I13" s="14" t="s">
        <v>12</v>
      </c>
      <c r="J13" s="14" t="s">
        <v>15</v>
      </c>
      <c r="K13" s="14" t="s">
        <v>13</v>
      </c>
      <c r="M13" s="9" t="n">
        <v>12</v>
      </c>
      <c r="N13" s="9" t="s">
        <v>12</v>
      </c>
      <c r="O13" s="9" t="s">
        <v>8</v>
      </c>
      <c r="P13" s="9" t="s">
        <v>13</v>
      </c>
    </row>
    <row r="14" customFormat="false" ht="30.55" hidden="false" customHeight="false" outlineLevel="0" collapsed="false">
      <c r="A14" s="8" t="n">
        <v>13</v>
      </c>
      <c r="B14" s="8" t="s">
        <v>12</v>
      </c>
      <c r="C14" s="8" t="s">
        <v>7</v>
      </c>
      <c r="D14" s="8" t="s">
        <v>17</v>
      </c>
      <c r="E14" s="8" t="s">
        <v>9</v>
      </c>
      <c r="F14" s="8" t="s">
        <v>13</v>
      </c>
      <c r="H14" s="14" t="n">
        <v>13</v>
      </c>
      <c r="I14" s="14" t="s">
        <v>12</v>
      </c>
      <c r="J14" s="14" t="s">
        <v>7</v>
      </c>
      <c r="K14" s="14" t="s">
        <v>13</v>
      </c>
      <c r="M14" s="9" t="n">
        <v>13</v>
      </c>
      <c r="N14" s="9" t="s">
        <v>12</v>
      </c>
      <c r="O14" s="9" t="s">
        <v>17</v>
      </c>
      <c r="P14" s="9" t="s">
        <v>13</v>
      </c>
    </row>
    <row r="15" customFormat="false" ht="30.55" hidden="false" customHeight="false" outlineLevel="0" collapsed="false">
      <c r="A15" s="5" t="n">
        <v>14</v>
      </c>
      <c r="B15" s="10" t="s">
        <v>14</v>
      </c>
      <c r="C15" s="5" t="s">
        <v>15</v>
      </c>
      <c r="D15" s="5" t="s">
        <v>8</v>
      </c>
      <c r="E15" s="11" t="s">
        <v>11</v>
      </c>
      <c r="F15" s="5" t="s">
        <v>10</v>
      </c>
      <c r="H15" s="5" t="n">
        <v>14</v>
      </c>
      <c r="I15" s="12" t="s">
        <v>14</v>
      </c>
      <c r="J15" s="12" t="s">
        <v>15</v>
      </c>
      <c r="K15" s="12" t="s">
        <v>10</v>
      </c>
      <c r="M15" s="5" t="n">
        <v>14</v>
      </c>
      <c r="N15" s="12" t="s">
        <v>14</v>
      </c>
      <c r="O15" s="12" t="s">
        <v>8</v>
      </c>
      <c r="P15" s="12" t="s">
        <v>10</v>
      </c>
    </row>
    <row r="19" customFormat="false" ht="30.55" hidden="false" customHeight="false" outlineLevel="0" collapsed="false">
      <c r="H19" s="1" t="s">
        <v>0</v>
      </c>
      <c r="I19" s="1" t="s">
        <v>1</v>
      </c>
      <c r="J19" s="1" t="s">
        <v>4</v>
      </c>
      <c r="K19" s="1" t="s">
        <v>5</v>
      </c>
    </row>
    <row r="20" customFormat="false" ht="30.55" hidden="false" customHeight="false" outlineLevel="0" collapsed="false">
      <c r="H20" s="2" t="n">
        <v>1</v>
      </c>
      <c r="I20" s="2" t="s">
        <v>6</v>
      </c>
      <c r="J20" s="2" t="s">
        <v>9</v>
      </c>
      <c r="K20" s="2" t="s">
        <v>10</v>
      </c>
    </row>
    <row r="21" customFormat="false" ht="30.55" hidden="false" customHeight="false" outlineLevel="0" collapsed="false">
      <c r="H21" s="5" t="n">
        <v>2</v>
      </c>
      <c r="I21" s="5" t="s">
        <v>6</v>
      </c>
      <c r="J21" s="5" t="s">
        <v>11</v>
      </c>
      <c r="K21" s="5" t="s">
        <v>10</v>
      </c>
    </row>
    <row r="22" customFormat="false" ht="30.55" hidden="false" customHeight="false" outlineLevel="0" collapsed="false">
      <c r="H22" s="8" t="n">
        <v>3</v>
      </c>
      <c r="I22" s="8" t="s">
        <v>12</v>
      </c>
      <c r="J22" s="8" t="s">
        <v>9</v>
      </c>
      <c r="K22" s="8" t="s">
        <v>13</v>
      </c>
    </row>
    <row r="23" customFormat="false" ht="30.55" hidden="false" customHeight="false" outlineLevel="0" collapsed="false">
      <c r="H23" s="5" t="n">
        <v>4</v>
      </c>
      <c r="I23" s="12" t="s">
        <v>14</v>
      </c>
      <c r="J23" s="12" t="s">
        <v>9</v>
      </c>
      <c r="K23" s="12" t="s">
        <v>13</v>
      </c>
    </row>
    <row r="24" customFormat="false" ht="30.55" hidden="false" customHeight="false" outlineLevel="0" collapsed="false">
      <c r="H24" s="8" t="n">
        <v>5</v>
      </c>
      <c r="I24" s="13" t="s">
        <v>14</v>
      </c>
      <c r="J24" s="13" t="s">
        <v>9</v>
      </c>
      <c r="K24" s="13" t="s">
        <v>13</v>
      </c>
    </row>
    <row r="25" customFormat="false" ht="30.55" hidden="false" customHeight="false" outlineLevel="0" collapsed="false">
      <c r="H25" s="5" t="n">
        <v>6</v>
      </c>
      <c r="I25" s="12" t="s">
        <v>14</v>
      </c>
      <c r="J25" s="12" t="s">
        <v>11</v>
      </c>
      <c r="K25" s="12" t="s">
        <v>10</v>
      </c>
    </row>
    <row r="26" customFormat="false" ht="30.55" hidden="false" customHeight="false" outlineLevel="0" collapsed="false">
      <c r="H26" s="8" t="n">
        <v>7</v>
      </c>
      <c r="I26" s="8" t="s">
        <v>12</v>
      </c>
      <c r="J26" s="8" t="s">
        <v>11</v>
      </c>
      <c r="K26" s="8" t="s">
        <v>13</v>
      </c>
    </row>
    <row r="27" customFormat="false" ht="30.55" hidden="false" customHeight="false" outlineLevel="0" collapsed="false">
      <c r="H27" s="5" t="n">
        <v>8</v>
      </c>
      <c r="I27" s="5" t="s">
        <v>6</v>
      </c>
      <c r="J27" s="5" t="s">
        <v>9</v>
      </c>
      <c r="K27" s="5" t="s">
        <v>10</v>
      </c>
    </row>
    <row r="28" customFormat="false" ht="30.55" hidden="false" customHeight="false" outlineLevel="0" collapsed="false">
      <c r="H28" s="8" t="n">
        <v>9</v>
      </c>
      <c r="I28" s="8" t="s">
        <v>6</v>
      </c>
      <c r="J28" s="8" t="s">
        <v>9</v>
      </c>
      <c r="K28" s="8" t="s">
        <v>13</v>
      </c>
    </row>
    <row r="29" customFormat="false" ht="30.55" hidden="false" customHeight="false" outlineLevel="0" collapsed="false">
      <c r="H29" s="5" t="n">
        <v>10</v>
      </c>
      <c r="I29" s="12" t="s">
        <v>14</v>
      </c>
      <c r="J29" s="12" t="s">
        <v>9</v>
      </c>
      <c r="K29" s="12" t="s">
        <v>13</v>
      </c>
    </row>
    <row r="30" customFormat="false" ht="30.55" hidden="false" customHeight="false" outlineLevel="0" collapsed="false">
      <c r="H30" s="8" t="n">
        <v>11</v>
      </c>
      <c r="I30" s="8" t="s">
        <v>6</v>
      </c>
      <c r="J30" s="8" t="s">
        <v>11</v>
      </c>
      <c r="K30" s="8" t="s">
        <v>13</v>
      </c>
    </row>
    <row r="31" customFormat="false" ht="30.55" hidden="false" customHeight="false" outlineLevel="0" collapsed="false">
      <c r="H31" s="5" t="n">
        <v>12</v>
      </c>
      <c r="I31" s="5" t="s">
        <v>12</v>
      </c>
      <c r="J31" s="5" t="s">
        <v>11</v>
      </c>
      <c r="K31" s="5" t="s">
        <v>13</v>
      </c>
    </row>
    <row r="32" customFormat="false" ht="30.55" hidden="false" customHeight="false" outlineLevel="0" collapsed="false">
      <c r="H32" s="8" t="n">
        <v>13</v>
      </c>
      <c r="I32" s="8" t="s">
        <v>12</v>
      </c>
      <c r="J32" s="8" t="s">
        <v>9</v>
      </c>
      <c r="K32" s="8" t="s">
        <v>13</v>
      </c>
    </row>
    <row r="33" customFormat="false" ht="30.55" hidden="false" customHeight="false" outlineLevel="0" collapsed="false">
      <c r="H33" s="5" t="n">
        <v>14</v>
      </c>
      <c r="I33" s="12" t="s">
        <v>14</v>
      </c>
      <c r="J33" s="12" t="s">
        <v>11</v>
      </c>
      <c r="K33" s="1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2" activeCellId="0" sqref="E12"/>
    </sheetView>
  </sheetViews>
  <sheetFormatPr defaultColWidth="18.54296875" defaultRowHeight="14.25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25.57"/>
    <col collapsed="false" customWidth="true" hidden="false" outlineLevel="0" max="5" min="5" style="0" width="38.45"/>
    <col collapsed="false" customWidth="true" hidden="false" outlineLevel="0" max="8" min="8" style="0" width="31.63"/>
  </cols>
  <sheetData>
    <row r="1" customFormat="false" ht="14.25" hidden="false" customHeight="false" outlineLevel="0" collapsed="false">
      <c r="F1" s="15"/>
      <c r="H1" s="15"/>
    </row>
    <row r="4" customFormat="false" ht="14.25" hidden="false" customHeight="false" outlineLevel="0" collapsed="false">
      <c r="A4" s="16" t="s">
        <v>19</v>
      </c>
      <c r="B4" s="16"/>
      <c r="C4" s="16"/>
    </row>
    <row r="5" customFormat="false" ht="14.25" hidden="false" customHeight="false" outlineLevel="0" collapsed="false">
      <c r="A5" s="17" t="s">
        <v>20</v>
      </c>
      <c r="B5" s="17" t="s">
        <v>13</v>
      </c>
      <c r="C5" s="17" t="s">
        <v>10</v>
      </c>
      <c r="D5" s="17" t="s">
        <v>21</v>
      </c>
    </row>
    <row r="6" customFormat="false" ht="14.25" hidden="false" customHeight="false" outlineLevel="0" collapsed="false">
      <c r="A6" s="18" t="n">
        <v>14</v>
      </c>
      <c r="B6" s="18" t="n">
        <v>9</v>
      </c>
      <c r="C6" s="18" t="n">
        <v>5</v>
      </c>
      <c r="D6" s="18" t="n">
        <f aca="false">-(B6/A6*LOG(B6/A6,2) + C6/A6*LOG(C6/A6,2))</f>
        <v>0.940285958670631</v>
      </c>
    </row>
    <row r="9" customFormat="false" ht="14.25" hidden="false" customHeight="false" outlineLevel="0" collapsed="false">
      <c r="A9" s="16" t="s">
        <v>22</v>
      </c>
      <c r="B9" s="16"/>
      <c r="C9" s="16"/>
    </row>
    <row r="10" customFormat="false" ht="14.25" hidden="false" customHeight="false" outlineLevel="0" collapsed="false">
      <c r="A10" s="19" t="s">
        <v>1</v>
      </c>
      <c r="B10" s="19" t="s">
        <v>13</v>
      </c>
      <c r="C10" s="19" t="s">
        <v>10</v>
      </c>
      <c r="D10" s="19" t="s">
        <v>23</v>
      </c>
      <c r="E10" s="19" t="s">
        <v>24</v>
      </c>
      <c r="F10" s="20"/>
    </row>
    <row r="11" customFormat="false" ht="14.25" hidden="false" customHeight="false" outlineLevel="0" collapsed="false">
      <c r="A11" s="18" t="s">
        <v>6</v>
      </c>
      <c r="B11" s="18" t="n">
        <v>2</v>
      </c>
      <c r="C11" s="18" t="n">
        <v>3</v>
      </c>
      <c r="D11" s="18" t="n">
        <f aca="false">B11+C11</f>
        <v>5</v>
      </c>
      <c r="E11" s="18" t="n">
        <f aca="false">-(B11/D11*LOG(B11/D11,2) + C11/D11*LOG(C11/D11,2))</f>
        <v>0.970950594454669</v>
      </c>
    </row>
    <row r="12" customFormat="false" ht="14.25" hidden="false" customHeight="false" outlineLevel="0" collapsed="false">
      <c r="A12" s="18" t="s">
        <v>12</v>
      </c>
      <c r="B12" s="18" t="n">
        <v>4</v>
      </c>
      <c r="C12" s="18" t="n">
        <v>0</v>
      </c>
      <c r="D12" s="18" t="n">
        <f aca="false">B12+C12</f>
        <v>4</v>
      </c>
      <c r="E12" s="18" t="n">
        <f aca="false">0</f>
        <v>0</v>
      </c>
    </row>
    <row r="13" customFormat="false" ht="14.25" hidden="false" customHeight="false" outlineLevel="0" collapsed="false">
      <c r="A13" s="18" t="s">
        <v>25</v>
      </c>
      <c r="B13" s="18" t="n">
        <v>4</v>
      </c>
      <c r="C13" s="18" t="n">
        <v>1</v>
      </c>
      <c r="D13" s="18" t="n">
        <f aca="false">B13+C13</f>
        <v>5</v>
      </c>
      <c r="E13" s="18" t="n">
        <f aca="false">-(B13/D13*LOG(B13/D13,2) + C13/D13*LOG(C13/D13,2))</f>
        <v>0.721928094887362</v>
      </c>
    </row>
    <row r="15" customFormat="false" ht="14.25" hidden="false" customHeight="false" outlineLevel="0" collapsed="false">
      <c r="A15" s="21" t="s">
        <v>26</v>
      </c>
      <c r="B15" s="21" t="n">
        <f aca="false">((D11/$A$6)*E11+(D12/$A$6)*E12+(D13/$A$6)*E13)</f>
        <v>0.604599531907868</v>
      </c>
    </row>
    <row r="16" customFormat="false" ht="14.25" hidden="false" customHeight="false" outlineLevel="0" collapsed="false">
      <c r="A16" s="21" t="s">
        <v>27</v>
      </c>
      <c r="B16" s="21" t="n">
        <f aca="false">$D$6-B15</f>
        <v>0.335686426762763</v>
      </c>
    </row>
    <row r="19" customFormat="false" ht="14.25" hidden="false" customHeight="false" outlineLevel="0" collapsed="false">
      <c r="A19" s="16" t="s">
        <v>28</v>
      </c>
      <c r="B19" s="16"/>
      <c r="C19" s="16"/>
    </row>
    <row r="20" customFormat="false" ht="14.25" hidden="false" customHeight="false" outlineLevel="0" collapsed="false">
      <c r="A20" s="19" t="s">
        <v>2</v>
      </c>
      <c r="B20" s="19" t="s">
        <v>13</v>
      </c>
      <c r="C20" s="19" t="s">
        <v>10</v>
      </c>
      <c r="D20" s="19" t="s">
        <v>23</v>
      </c>
      <c r="E20" s="19" t="s">
        <v>24</v>
      </c>
    </row>
    <row r="21" customFormat="false" ht="14.25" hidden="false" customHeight="false" outlineLevel="0" collapsed="false">
      <c r="A21" s="18" t="s">
        <v>7</v>
      </c>
      <c r="B21" s="18" t="n">
        <v>2</v>
      </c>
      <c r="C21" s="18" t="n">
        <v>2</v>
      </c>
      <c r="D21" s="18" t="n">
        <f aca="false">B21+C21</f>
        <v>4</v>
      </c>
      <c r="E21" s="18" t="n">
        <f aca="false">-(B21/D21*LOG(B21/D21,2) + C21/D21*LOG(C21/D21,2))</f>
        <v>1</v>
      </c>
    </row>
    <row r="22" customFormat="false" ht="14.25" hidden="false" customHeight="false" outlineLevel="0" collapsed="false">
      <c r="A22" s="18" t="s">
        <v>15</v>
      </c>
      <c r="B22" s="18" t="n">
        <v>5</v>
      </c>
      <c r="C22" s="18" t="n">
        <v>1</v>
      </c>
      <c r="D22" s="18" t="n">
        <f aca="false">B22+C22</f>
        <v>6</v>
      </c>
      <c r="E22" s="18" t="n">
        <f aca="false">-(B22/D22*LOG(B22/D22,2) + C22/D22*LOG(C22/D22,2))</f>
        <v>0.650022421648354</v>
      </c>
    </row>
    <row r="23" customFormat="false" ht="14.25" hidden="false" customHeight="false" outlineLevel="0" collapsed="false">
      <c r="A23" s="18" t="s">
        <v>16</v>
      </c>
      <c r="B23" s="18" t="n">
        <v>3</v>
      </c>
      <c r="C23" s="18" t="n">
        <v>1</v>
      </c>
      <c r="D23" s="18" t="n">
        <f aca="false">B23+C23</f>
        <v>4</v>
      </c>
      <c r="E23" s="18" t="n">
        <f aca="false">-(B23/D23*LOG(B23/D23,2) + C23/D23*LOG(C23/D23,2))</f>
        <v>0.811278124459133</v>
      </c>
    </row>
    <row r="25" customFormat="false" ht="14.25" hidden="false" customHeight="false" outlineLevel="0" collapsed="false">
      <c r="A25" s="21" t="s">
        <v>26</v>
      </c>
      <c r="B25" s="21" t="n">
        <f aca="false">((D21/$A$6)*E21+(D22/$A$6)*E22+(D23/$A$6)*E23)</f>
        <v>0.796089073409047</v>
      </c>
    </row>
    <row r="26" customFormat="false" ht="14.25" hidden="false" customHeight="false" outlineLevel="0" collapsed="false">
      <c r="A26" s="21" t="s">
        <v>27</v>
      </c>
      <c r="B26" s="21" t="n">
        <f aca="false">$D$6-B25</f>
        <v>0.144196885261584</v>
      </c>
    </row>
    <row r="29" customFormat="false" ht="14.25" hidden="false" customHeight="false" outlineLevel="0" collapsed="false">
      <c r="A29" s="16" t="s">
        <v>29</v>
      </c>
      <c r="B29" s="16"/>
      <c r="C29" s="16"/>
    </row>
    <row r="30" customFormat="false" ht="14.25" hidden="false" customHeight="false" outlineLevel="0" collapsed="false">
      <c r="A30" s="19" t="s">
        <v>2</v>
      </c>
      <c r="B30" s="19" t="s">
        <v>13</v>
      </c>
      <c r="C30" s="19" t="s">
        <v>10</v>
      </c>
      <c r="D30" s="19" t="s">
        <v>23</v>
      </c>
      <c r="E30" s="19" t="s">
        <v>24</v>
      </c>
    </row>
    <row r="31" customFormat="false" ht="14.25" hidden="false" customHeight="false" outlineLevel="0" collapsed="false">
      <c r="A31" s="18" t="s">
        <v>8</v>
      </c>
      <c r="B31" s="18" t="n">
        <v>3</v>
      </c>
      <c r="C31" s="18" t="n">
        <v>4</v>
      </c>
      <c r="D31" s="18" t="n">
        <f aca="false">B31+C31</f>
        <v>7</v>
      </c>
      <c r="E31" s="18" t="n">
        <f aca="false">-(B31/D31*LOG(B31/D31,2) + C31/D31*LOG(C31/D31,2))</f>
        <v>0.985228136034252</v>
      </c>
    </row>
    <row r="32" customFormat="false" ht="14.25" hidden="false" customHeight="false" outlineLevel="0" collapsed="false">
      <c r="A32" s="18" t="s">
        <v>17</v>
      </c>
      <c r="B32" s="18" t="n">
        <v>6</v>
      </c>
      <c r="C32" s="18" t="n">
        <v>1</v>
      </c>
      <c r="D32" s="18" t="n">
        <f aca="false">B32+C32</f>
        <v>7</v>
      </c>
      <c r="E32" s="18" t="n">
        <f aca="false">-(B32/D32*LOG(B32/D32,2) + C32/D32*LOG(C32/D32,2))</f>
        <v>0.591672778582328</v>
      </c>
    </row>
    <row r="34" customFormat="false" ht="14.25" hidden="false" customHeight="false" outlineLevel="0" collapsed="false">
      <c r="A34" s="21" t="s">
        <v>26</v>
      </c>
      <c r="B34" s="21" t="n">
        <f aca="false">((D31/$A$6)*E31+(D32/$A$6)*E32)</f>
        <v>0.78845045730829</v>
      </c>
    </row>
    <row r="35" customFormat="false" ht="14.25" hidden="false" customHeight="false" outlineLevel="0" collapsed="false">
      <c r="A35" s="21" t="s">
        <v>27</v>
      </c>
      <c r="B35" s="21" t="n">
        <f aca="false">$D$6-B34</f>
        <v>0.151835501362341</v>
      </c>
    </row>
    <row r="38" customFormat="false" ht="14.25" hidden="false" customHeight="false" outlineLevel="0" collapsed="false">
      <c r="A38" s="16" t="s">
        <v>30</v>
      </c>
      <c r="B38" s="16"/>
      <c r="C38" s="16"/>
    </row>
    <row r="39" customFormat="false" ht="14.25" hidden="false" customHeight="false" outlineLevel="0" collapsed="false">
      <c r="A39" s="19" t="s">
        <v>31</v>
      </c>
      <c r="B39" s="19" t="s">
        <v>13</v>
      </c>
      <c r="C39" s="19" t="s">
        <v>10</v>
      </c>
      <c r="D39" s="19" t="s">
        <v>23</v>
      </c>
      <c r="E39" s="19" t="s">
        <v>24</v>
      </c>
    </row>
    <row r="40" customFormat="false" ht="14.25" hidden="false" customHeight="false" outlineLevel="0" collapsed="false">
      <c r="A40" s="18" t="s">
        <v>9</v>
      </c>
      <c r="B40" s="18" t="n">
        <v>5</v>
      </c>
      <c r="C40" s="18" t="n">
        <v>2</v>
      </c>
      <c r="D40" s="18" t="n">
        <f aca="false">B40+C40</f>
        <v>7</v>
      </c>
      <c r="E40" s="18" t="n">
        <f aca="false">-(B40/D40*LOG(B40/D40,2) + C40/D40*LOG(C40/D40,2))</f>
        <v>0.863120568566631</v>
      </c>
    </row>
    <row r="41" customFormat="false" ht="14.25" hidden="false" customHeight="false" outlineLevel="0" collapsed="false">
      <c r="A41" s="18" t="s">
        <v>11</v>
      </c>
      <c r="B41" s="18" t="n">
        <v>4</v>
      </c>
      <c r="C41" s="18" t="n">
        <v>3</v>
      </c>
      <c r="D41" s="18" t="n">
        <f aca="false">B41+C41</f>
        <v>7</v>
      </c>
      <c r="E41" s="18" t="n">
        <f aca="false">-(B41/D41*LOG(B41/D41,2) + C41/D41*LOG(C41/D41,2))</f>
        <v>0.985228136034252</v>
      </c>
    </row>
    <row r="43" customFormat="false" ht="14.25" hidden="false" customHeight="false" outlineLevel="0" collapsed="false">
      <c r="A43" s="21" t="s">
        <v>26</v>
      </c>
      <c r="B43" s="21" t="n">
        <f aca="false">((D40/$A$6)*E40+(D41/$A$6)*E41)</f>
        <v>0.924174352300441</v>
      </c>
    </row>
    <row r="44" customFormat="false" ht="14.25" hidden="false" customHeight="false" outlineLevel="0" collapsed="false">
      <c r="A44" s="21" t="s">
        <v>27</v>
      </c>
      <c r="B44" s="21" t="n">
        <f aca="false">$D$6-B43</f>
        <v>0.0161116063701896</v>
      </c>
    </row>
  </sheetData>
  <mergeCells count="5">
    <mergeCell ref="A4:C4"/>
    <mergeCell ref="A9:C9"/>
    <mergeCell ref="A19:C19"/>
    <mergeCell ref="A29:C29"/>
    <mergeCell ref="A38:C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7" activeCellId="0" sqref="C2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.45"/>
    <col collapsed="false" customWidth="true" hidden="false" outlineLevel="0" max="4" min="4" style="0" width="15.54"/>
  </cols>
  <sheetData>
    <row r="2" customFormat="false" ht="14.25" hidden="false" customHeight="false" outlineLevel="0" collapsed="false">
      <c r="A2" s="16" t="s">
        <v>32</v>
      </c>
      <c r="B2" s="16"/>
      <c r="C2" s="16"/>
      <c r="D2" s="16"/>
    </row>
    <row r="3" customFormat="false" ht="14.25" hidden="false" customHeight="false" outlineLevel="0" collapsed="false">
      <c r="A3" s="17" t="s">
        <v>20</v>
      </c>
      <c r="B3" s="17" t="s">
        <v>13</v>
      </c>
      <c r="C3" s="17" t="s">
        <v>10</v>
      </c>
      <c r="D3" s="17" t="s">
        <v>21</v>
      </c>
    </row>
    <row r="4" customFormat="false" ht="14.25" hidden="false" customHeight="false" outlineLevel="0" collapsed="false">
      <c r="A4" s="18" t="n">
        <v>5</v>
      </c>
      <c r="B4" s="18" t="n">
        <v>2</v>
      </c>
      <c r="C4" s="18" t="n">
        <v>3</v>
      </c>
      <c r="D4" s="18" t="n">
        <f aca="false">-(B4/A4*LOG(B4/A4,2) + C4/A4*LOG(C4/A4,2))</f>
        <v>0.970950594454669</v>
      </c>
    </row>
    <row r="7" customFormat="false" ht="14.25" hidden="false" customHeight="false" outlineLevel="0" collapsed="false">
      <c r="A7" s="16" t="s">
        <v>33</v>
      </c>
      <c r="B7" s="16"/>
      <c r="C7" s="16"/>
      <c r="D7" s="16"/>
    </row>
    <row r="8" customFormat="false" ht="14.25" hidden="false" customHeight="false" outlineLevel="0" collapsed="false">
      <c r="A8" s="19" t="s">
        <v>3</v>
      </c>
      <c r="B8" s="19" t="s">
        <v>13</v>
      </c>
      <c r="C8" s="19" t="s">
        <v>10</v>
      </c>
      <c r="D8" s="19" t="s">
        <v>23</v>
      </c>
      <c r="E8" s="19" t="s">
        <v>24</v>
      </c>
    </row>
    <row r="9" customFormat="false" ht="14.25" hidden="false" customHeight="false" outlineLevel="0" collapsed="false">
      <c r="A9" s="18" t="s">
        <v>8</v>
      </c>
      <c r="B9" s="18" t="n">
        <v>0</v>
      </c>
      <c r="C9" s="18" t="n">
        <v>3</v>
      </c>
      <c r="D9" s="18" t="n">
        <f aca="false">B9+C9</f>
        <v>3</v>
      </c>
      <c r="E9" s="18" t="n">
        <v>0</v>
      </c>
      <c r="G9" s="22" t="s">
        <v>34</v>
      </c>
    </row>
    <row r="10" customFormat="false" ht="14.25" hidden="false" customHeight="false" outlineLevel="0" collapsed="false">
      <c r="A10" s="18" t="s">
        <v>17</v>
      </c>
      <c r="B10" s="18" t="n">
        <v>2</v>
      </c>
      <c r="C10" s="18" t="n">
        <v>0</v>
      </c>
      <c r="D10" s="18" t="n">
        <f aca="false">B10+C10</f>
        <v>2</v>
      </c>
      <c r="E10" s="18" t="n">
        <v>0</v>
      </c>
    </row>
    <row r="12" customFormat="false" ht="14.25" hidden="false" customHeight="false" outlineLevel="0" collapsed="false">
      <c r="A12" s="21" t="s">
        <v>26</v>
      </c>
      <c r="B12" s="21" t="n">
        <v>0</v>
      </c>
    </row>
    <row r="13" customFormat="false" ht="14.25" hidden="false" customHeight="false" outlineLevel="0" collapsed="false">
      <c r="A13" s="21" t="s">
        <v>27</v>
      </c>
      <c r="B13" s="21" t="n">
        <f aca="false">$D$4-B12</f>
        <v>0.970950594454669</v>
      </c>
    </row>
    <row r="16" customFormat="false" ht="14.25" hidden="false" customHeight="false" outlineLevel="0" collapsed="false">
      <c r="A16" s="16" t="s">
        <v>35</v>
      </c>
      <c r="B16" s="16"/>
      <c r="C16" s="16"/>
      <c r="D16" s="16"/>
    </row>
    <row r="17" customFormat="false" ht="14.25" hidden="false" customHeight="false" outlineLevel="0" collapsed="false">
      <c r="A17" s="17" t="s">
        <v>20</v>
      </c>
      <c r="B17" s="17" t="s">
        <v>13</v>
      </c>
      <c r="C17" s="17" t="s">
        <v>10</v>
      </c>
      <c r="D17" s="17" t="s">
        <v>21</v>
      </c>
    </row>
    <row r="18" customFormat="false" ht="14.25" hidden="false" customHeight="false" outlineLevel="0" collapsed="false">
      <c r="A18" s="18" t="n">
        <v>5</v>
      </c>
      <c r="B18" s="18" t="n">
        <v>4</v>
      </c>
      <c r="C18" s="18" t="n">
        <v>1</v>
      </c>
      <c r="D18" s="18" t="n">
        <f aca="false">-(B18/A18*LOG(B18/A18,2) + C18/A18*LOG(C18/A18,2))</f>
        <v>0.721928094887362</v>
      </c>
    </row>
    <row r="21" customFormat="false" ht="14.25" hidden="false" customHeight="false" outlineLevel="0" collapsed="false">
      <c r="A21" s="16" t="s">
        <v>36</v>
      </c>
      <c r="B21" s="16"/>
      <c r="C21" s="16"/>
      <c r="D21" s="16"/>
    </row>
    <row r="22" customFormat="false" ht="14.25" hidden="false" customHeight="false" outlineLevel="0" collapsed="false">
      <c r="A22" s="19" t="s">
        <v>4</v>
      </c>
      <c r="B22" s="19" t="s">
        <v>13</v>
      </c>
      <c r="C22" s="19" t="s">
        <v>10</v>
      </c>
      <c r="D22" s="19" t="s">
        <v>23</v>
      </c>
      <c r="E22" s="19" t="s">
        <v>24</v>
      </c>
    </row>
    <row r="23" customFormat="false" ht="14.25" hidden="false" customHeight="false" outlineLevel="0" collapsed="false">
      <c r="A23" s="18" t="s">
        <v>9</v>
      </c>
      <c r="B23" s="18" t="n">
        <v>3</v>
      </c>
      <c r="C23" s="18" t="n">
        <v>0</v>
      </c>
      <c r="D23" s="18" t="n">
        <f aca="false">B23+C23</f>
        <v>3</v>
      </c>
      <c r="E23" s="18" t="n">
        <v>0</v>
      </c>
    </row>
    <row r="24" customFormat="false" ht="14.25" hidden="false" customHeight="false" outlineLevel="0" collapsed="false">
      <c r="A24" s="18" t="s">
        <v>11</v>
      </c>
      <c r="B24" s="18" t="n">
        <v>0</v>
      </c>
      <c r="C24" s="18" t="n">
        <v>2</v>
      </c>
      <c r="D24" s="18" t="n">
        <f aca="false">B24+C24</f>
        <v>2</v>
      </c>
      <c r="E24" s="18" t="n">
        <v>0</v>
      </c>
    </row>
    <row r="26" customFormat="false" ht="14.25" hidden="false" customHeight="false" outlineLevel="0" collapsed="false">
      <c r="A26" s="21" t="s">
        <v>26</v>
      </c>
      <c r="B26" s="21" t="n">
        <v>0</v>
      </c>
    </row>
    <row r="27" customFormat="false" ht="14.25" hidden="false" customHeight="false" outlineLevel="0" collapsed="false">
      <c r="A27" s="21" t="s">
        <v>27</v>
      </c>
      <c r="B27" s="21" t="n">
        <f aca="false">$D$4-B26</f>
        <v>0.970950594454669</v>
      </c>
    </row>
  </sheetData>
  <mergeCells count="4">
    <mergeCell ref="A2:D2"/>
    <mergeCell ref="A7:D7"/>
    <mergeCell ref="A16:D16"/>
    <mergeCell ref="A21:D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" activeCellId="0" sqref="E2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12.09"/>
    <col collapsed="false" customWidth="true" hidden="false" outlineLevel="0" max="5" min="5" style="0" width="10.73"/>
  </cols>
  <sheetData>
    <row r="1" customFormat="false" ht="14.9" hidden="false" customHeight="false" outlineLevel="0" collapsed="false">
      <c r="A1" s="23" t="s">
        <v>37</v>
      </c>
      <c r="B1" s="23" t="s">
        <v>38</v>
      </c>
      <c r="C1" s="23" t="s">
        <v>39</v>
      </c>
      <c r="D1" s="23" t="s">
        <v>40</v>
      </c>
      <c r="E1" s="23" t="s">
        <v>41</v>
      </c>
    </row>
    <row r="2" customFormat="false" ht="14.9" hidden="false" customHeight="false" outlineLevel="0" collapsed="false">
      <c r="A2" s="24" t="s">
        <v>42</v>
      </c>
      <c r="B2" s="24" t="s">
        <v>43</v>
      </c>
      <c r="C2" s="24" t="s">
        <v>44</v>
      </c>
      <c r="D2" s="24" t="s">
        <v>45</v>
      </c>
      <c r="E2" s="24" t="s">
        <v>46</v>
      </c>
    </row>
    <row r="3" customFormat="false" ht="14.9" hidden="false" customHeight="false" outlineLevel="0" collapsed="false">
      <c r="A3" s="24" t="s">
        <v>47</v>
      </c>
      <c r="B3" s="24" t="s">
        <v>43</v>
      </c>
      <c r="C3" s="24" t="s">
        <v>48</v>
      </c>
      <c r="D3" s="24" t="s">
        <v>45</v>
      </c>
      <c r="E3" s="24" t="s">
        <v>49</v>
      </c>
    </row>
    <row r="4" customFormat="false" ht="14.9" hidden="false" customHeight="false" outlineLevel="0" collapsed="false">
      <c r="A4" s="24" t="s">
        <v>50</v>
      </c>
      <c r="B4" s="24" t="s">
        <v>43</v>
      </c>
      <c r="C4" s="24" t="s">
        <v>51</v>
      </c>
      <c r="D4" s="24" t="s">
        <v>52</v>
      </c>
      <c r="E4" s="24" t="s">
        <v>49</v>
      </c>
    </row>
    <row r="5" customFormat="false" ht="14.9" hidden="false" customHeight="false" outlineLevel="0" collapsed="false">
      <c r="A5" s="24" t="s">
        <v>53</v>
      </c>
      <c r="B5" s="24" t="s">
        <v>54</v>
      </c>
      <c r="C5" s="24" t="s">
        <v>44</v>
      </c>
      <c r="D5" s="24" t="s">
        <v>45</v>
      </c>
      <c r="E5" s="24" t="s">
        <v>49</v>
      </c>
    </row>
    <row r="6" customFormat="false" ht="14.9" hidden="false" customHeight="false" outlineLevel="0" collapsed="false">
      <c r="A6" s="24" t="s">
        <v>55</v>
      </c>
      <c r="B6" s="24" t="s">
        <v>54</v>
      </c>
      <c r="C6" s="24" t="s">
        <v>44</v>
      </c>
      <c r="D6" s="24" t="s">
        <v>45</v>
      </c>
      <c r="E6" s="24" t="s">
        <v>46</v>
      </c>
    </row>
    <row r="7" customFormat="false" ht="14.9" hidden="false" customHeight="false" outlineLevel="0" collapsed="false">
      <c r="A7" s="24" t="s">
        <v>56</v>
      </c>
      <c r="B7" s="24" t="s">
        <v>43</v>
      </c>
      <c r="C7" s="24" t="s">
        <v>48</v>
      </c>
      <c r="D7" s="24" t="s">
        <v>45</v>
      </c>
      <c r="E7" s="24" t="s">
        <v>49</v>
      </c>
    </row>
    <row r="8" customFormat="false" ht="14.9" hidden="false" customHeight="false" outlineLevel="0" collapsed="false">
      <c r="A8" s="24" t="s">
        <v>57</v>
      </c>
      <c r="B8" s="24" t="s">
        <v>54</v>
      </c>
      <c r="C8" s="24" t="s">
        <v>44</v>
      </c>
      <c r="D8" s="24" t="s">
        <v>52</v>
      </c>
      <c r="E8" s="24" t="s">
        <v>46</v>
      </c>
    </row>
    <row r="9" customFormat="false" ht="14.9" hidden="false" customHeight="false" outlineLevel="0" collapsed="false">
      <c r="A9" s="24" t="s">
        <v>58</v>
      </c>
      <c r="B9" s="24" t="s">
        <v>54</v>
      </c>
      <c r="C9" s="24" t="s">
        <v>51</v>
      </c>
      <c r="D9" s="24" t="s">
        <v>45</v>
      </c>
      <c r="E9" s="24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2" activeCellId="0" sqref="B12"/>
    </sheetView>
  </sheetViews>
  <sheetFormatPr defaultColWidth="18.54296875" defaultRowHeight="14.25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25.57"/>
    <col collapsed="false" customWidth="true" hidden="false" outlineLevel="0" max="5" min="5" style="0" width="38.45"/>
    <col collapsed="false" customWidth="true" hidden="false" outlineLevel="0" max="8" min="8" style="0" width="31.63"/>
  </cols>
  <sheetData>
    <row r="1" customFormat="false" ht="14.25" hidden="false" customHeight="false" outlineLevel="0" collapsed="false">
      <c r="F1" s="15"/>
      <c r="H1" s="15"/>
    </row>
    <row r="4" customFormat="false" ht="14.25" hidden="false" customHeight="false" outlineLevel="0" collapsed="false">
      <c r="A4" s="16" t="s">
        <v>19</v>
      </c>
      <c r="B4" s="16"/>
      <c r="C4" s="16"/>
    </row>
    <row r="5" customFormat="false" ht="14.25" hidden="false" customHeight="false" outlineLevel="0" collapsed="false">
      <c r="A5" s="17" t="s">
        <v>20</v>
      </c>
      <c r="B5" s="17" t="s">
        <v>13</v>
      </c>
      <c r="C5" s="17" t="s">
        <v>10</v>
      </c>
      <c r="D5" s="17" t="s">
        <v>21</v>
      </c>
    </row>
    <row r="6" customFormat="false" ht="14.25" hidden="false" customHeight="false" outlineLevel="0" collapsed="false">
      <c r="A6" s="18" t="n">
        <v>8</v>
      </c>
      <c r="B6" s="18" t="n">
        <v>3</v>
      </c>
      <c r="C6" s="18" t="n">
        <v>5</v>
      </c>
      <c r="D6" s="18" t="n">
        <f aca="false">-(B6/A6*LOG(B6/A6,2) + C6/A6*LOG(C6/A6,2))</f>
        <v>0.954434002924965</v>
      </c>
    </row>
    <row r="9" customFormat="false" ht="14.25" hidden="false" customHeight="false" outlineLevel="0" collapsed="false">
      <c r="A9" s="16" t="s">
        <v>59</v>
      </c>
      <c r="B9" s="16"/>
      <c r="C9" s="16"/>
    </row>
    <row r="10" customFormat="false" ht="14.25" hidden="false" customHeight="false" outlineLevel="0" collapsed="false">
      <c r="A10" s="19" t="s">
        <v>1</v>
      </c>
      <c r="B10" s="19" t="s">
        <v>13</v>
      </c>
      <c r="C10" s="19" t="s">
        <v>10</v>
      </c>
      <c r="D10" s="19" t="s">
        <v>23</v>
      </c>
      <c r="E10" s="19" t="s">
        <v>24</v>
      </c>
      <c r="F10" s="20"/>
    </row>
    <row r="11" customFormat="false" ht="14.25" hidden="false" customHeight="false" outlineLevel="0" collapsed="false">
      <c r="A11" s="18" t="s">
        <v>60</v>
      </c>
      <c r="B11" s="18" t="n">
        <v>1</v>
      </c>
      <c r="C11" s="18" t="n">
        <v>3</v>
      </c>
      <c r="D11" s="18" t="n">
        <f aca="false">B11+C11</f>
        <v>4</v>
      </c>
      <c r="E11" s="18" t="n">
        <f aca="false">-(B11/D11*LOG(B11/D11,2) + C11/D11*LOG(C11/D11,2))</f>
        <v>0.811278124459133</v>
      </c>
    </row>
    <row r="12" customFormat="false" ht="13.8" hidden="false" customHeight="false" outlineLevel="0" collapsed="false">
      <c r="A12" s="18" t="s">
        <v>61</v>
      </c>
      <c r="B12" s="18" t="n">
        <v>2</v>
      </c>
      <c r="C12" s="18" t="n">
        <v>2</v>
      </c>
      <c r="D12" s="18" t="n">
        <f aca="false">B12+C12</f>
        <v>4</v>
      </c>
      <c r="E12" s="18" t="n">
        <f aca="false">-(B12/D12*LOG(B12/D12,2) + C12/D12*LOG(C12/D12,2))</f>
        <v>1</v>
      </c>
    </row>
    <row r="15" customFormat="false" ht="14.25" hidden="false" customHeight="false" outlineLevel="0" collapsed="false">
      <c r="A15" s="21" t="s">
        <v>26</v>
      </c>
      <c r="B15" s="21" t="n">
        <f aca="false">((D11/$A$6)*E11+(D12/$A$6)*E12)</f>
        <v>0.905639062229567</v>
      </c>
    </row>
    <row r="16" customFormat="false" ht="14.25" hidden="false" customHeight="false" outlineLevel="0" collapsed="false">
      <c r="A16" s="21" t="s">
        <v>27</v>
      </c>
      <c r="B16" s="21" t="n">
        <f aca="false">$D$6-B15</f>
        <v>0.0487949406953985</v>
      </c>
    </row>
    <row r="19" customFormat="false" ht="14.25" hidden="false" customHeight="false" outlineLevel="0" collapsed="false">
      <c r="A19" s="16" t="s">
        <v>62</v>
      </c>
      <c r="B19" s="16"/>
      <c r="C19" s="16"/>
    </row>
    <row r="20" customFormat="false" ht="14.25" hidden="false" customHeight="false" outlineLevel="0" collapsed="false">
      <c r="A20" s="19" t="s">
        <v>2</v>
      </c>
      <c r="B20" s="19" t="s">
        <v>13</v>
      </c>
      <c r="C20" s="19" t="s">
        <v>10</v>
      </c>
      <c r="D20" s="19" t="s">
        <v>23</v>
      </c>
      <c r="E20" s="19" t="s">
        <v>24</v>
      </c>
    </row>
    <row r="21" customFormat="false" ht="14.25" hidden="false" customHeight="false" outlineLevel="0" collapsed="false">
      <c r="A21" s="18" t="s">
        <v>63</v>
      </c>
      <c r="B21" s="18" t="n">
        <v>3</v>
      </c>
      <c r="C21" s="18" t="n">
        <v>1</v>
      </c>
      <c r="D21" s="18" t="n">
        <f aca="false">B21+C21</f>
        <v>4</v>
      </c>
      <c r="E21" s="18" t="n">
        <f aca="false">-(B21/D21*LOG(B21/D21,2) + C21/D21*LOG(C21/D21,2))</f>
        <v>0.811278124459133</v>
      </c>
    </row>
    <row r="22" customFormat="false" ht="13.8" hidden="false" customHeight="false" outlineLevel="0" collapsed="false">
      <c r="A22" s="18" t="s">
        <v>64</v>
      </c>
      <c r="B22" s="18" t="n">
        <v>0</v>
      </c>
      <c r="C22" s="18" t="n">
        <v>2</v>
      </c>
      <c r="D22" s="18" t="n">
        <f aca="false">B22+C22</f>
        <v>2</v>
      </c>
      <c r="E22" s="18" t="n">
        <f aca="false">0</f>
        <v>0</v>
      </c>
    </row>
    <row r="23" customFormat="false" ht="13.8" hidden="false" customHeight="false" outlineLevel="0" collapsed="false">
      <c r="A23" s="18" t="s">
        <v>65</v>
      </c>
      <c r="B23" s="18" t="n">
        <v>0</v>
      </c>
      <c r="C23" s="18" t="n">
        <v>2</v>
      </c>
      <c r="D23" s="18" t="n">
        <f aca="false">B23+C23</f>
        <v>2</v>
      </c>
      <c r="E23" s="18" t="n">
        <f aca="false">0</f>
        <v>0</v>
      </c>
    </row>
    <row r="25" customFormat="false" ht="14.25" hidden="false" customHeight="false" outlineLevel="0" collapsed="false">
      <c r="A25" s="21" t="s">
        <v>26</v>
      </c>
      <c r="B25" s="21" t="n">
        <f aca="false">((D21/$A$6)*E21+(D22/$A$6)*E22+(D23/$A$6)*E23)</f>
        <v>0.405639062229566</v>
      </c>
    </row>
    <row r="26" customFormat="false" ht="14.25" hidden="false" customHeight="false" outlineLevel="0" collapsed="false">
      <c r="A26" s="21" t="s">
        <v>27</v>
      </c>
      <c r="B26" s="21" t="n">
        <f aca="false">$D$6-B25</f>
        <v>0.548794940695399</v>
      </c>
    </row>
    <row r="29" customFormat="false" ht="14.25" hidden="false" customHeight="false" outlineLevel="0" collapsed="false">
      <c r="A29" s="16" t="s">
        <v>66</v>
      </c>
      <c r="B29" s="16"/>
      <c r="C29" s="16"/>
    </row>
    <row r="30" customFormat="false" ht="14.25" hidden="false" customHeight="false" outlineLevel="0" collapsed="false">
      <c r="A30" s="19" t="s">
        <v>2</v>
      </c>
      <c r="B30" s="19" t="s">
        <v>13</v>
      </c>
      <c r="C30" s="19" t="s">
        <v>10</v>
      </c>
      <c r="D30" s="19" t="s">
        <v>23</v>
      </c>
      <c r="E30" s="19" t="s">
        <v>24</v>
      </c>
    </row>
    <row r="31" customFormat="false" ht="14.25" hidden="false" customHeight="false" outlineLevel="0" collapsed="false">
      <c r="A31" s="18" t="s">
        <v>67</v>
      </c>
      <c r="B31" s="18" t="n">
        <v>2</v>
      </c>
      <c r="C31" s="18" t="n">
        <v>4</v>
      </c>
      <c r="D31" s="18" t="n">
        <f aca="false">B31+C31</f>
        <v>6</v>
      </c>
      <c r="E31" s="18" t="n">
        <f aca="false">-(B31/D31*LOG(B31/D31,2) + C31/D31*LOG(C31/D31,2))</f>
        <v>0.91829583405449</v>
      </c>
    </row>
    <row r="32" customFormat="false" ht="14.25" hidden="false" customHeight="false" outlineLevel="0" collapsed="false">
      <c r="A32" s="18" t="s">
        <v>68</v>
      </c>
      <c r="B32" s="18" t="n">
        <v>1</v>
      </c>
      <c r="C32" s="18" t="n">
        <v>1</v>
      </c>
      <c r="D32" s="18" t="n">
        <f aca="false">B32+C32</f>
        <v>2</v>
      </c>
      <c r="E32" s="18" t="n">
        <f aca="false">-(B32/D32*LOG(B32/D32,2) + C32/D32*LOG(C32/D32,2))</f>
        <v>1</v>
      </c>
    </row>
    <row r="34" customFormat="false" ht="14.25" hidden="false" customHeight="false" outlineLevel="0" collapsed="false">
      <c r="A34" s="21" t="s">
        <v>26</v>
      </c>
      <c r="B34" s="21" t="n">
        <f aca="false">((D31/$A$6)*E31+(D32/$A$6)*E32)</f>
        <v>0.938721875540867</v>
      </c>
    </row>
    <row r="35" customFormat="false" ht="14.25" hidden="false" customHeight="false" outlineLevel="0" collapsed="false">
      <c r="A35" s="21" t="s">
        <v>27</v>
      </c>
      <c r="B35" s="21" t="n">
        <f aca="false">$D$6-B34</f>
        <v>0.0157121273840978</v>
      </c>
    </row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</sheetData>
  <mergeCells count="4">
    <mergeCell ref="A4:C4"/>
    <mergeCell ref="A9:C9"/>
    <mergeCell ref="A19:C19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22" activeCellId="0" sqref="K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.45"/>
    <col collapsed="false" customWidth="true" hidden="false" outlineLevel="0" max="2" min="2" style="0" width="21.32"/>
    <col collapsed="false" customWidth="true" hidden="false" outlineLevel="0" max="3" min="3" style="0" width="16.23"/>
    <col collapsed="false" customWidth="true" hidden="false" outlineLevel="0" max="4" min="4" style="0" width="25.19"/>
    <col collapsed="false" customWidth="true" hidden="false" outlineLevel="0" max="5" min="5" style="0" width="18.86"/>
    <col collapsed="false" customWidth="true" hidden="false" outlineLevel="0" max="7" min="7" style="0" width="19.01"/>
    <col collapsed="false" customWidth="true" hidden="false" outlineLevel="0" max="8" min="8" style="0" width="20.39"/>
    <col collapsed="false" customWidth="true" hidden="false" outlineLevel="0" max="9" min="9" style="0" width="18.08"/>
    <col collapsed="false" customWidth="true" hidden="false" outlineLevel="0" max="10" min="10" style="0" width="14.37"/>
    <col collapsed="false" customWidth="true" hidden="false" outlineLevel="0" max="11" min="11" style="0" width="19.32"/>
  </cols>
  <sheetData>
    <row r="2" customFormat="false" ht="13.8" hidden="false" customHeight="false" outlineLevel="0" collapsed="false">
      <c r="A2" s="16" t="s">
        <v>69</v>
      </c>
      <c r="B2" s="16"/>
      <c r="C2" s="16"/>
      <c r="D2" s="16"/>
    </row>
    <row r="3" customFormat="false" ht="14.25" hidden="false" customHeight="false" outlineLevel="0" collapsed="false">
      <c r="A3" s="17" t="s">
        <v>20</v>
      </c>
      <c r="B3" s="17" t="s">
        <v>13</v>
      </c>
      <c r="C3" s="17" t="s">
        <v>10</v>
      </c>
      <c r="D3" s="17" t="s">
        <v>21</v>
      </c>
    </row>
    <row r="4" customFormat="false" ht="13.8" hidden="false" customHeight="false" outlineLevel="0" collapsed="false">
      <c r="A4" s="18" t="n">
        <v>4</v>
      </c>
      <c r="B4" s="18" t="n">
        <v>3</v>
      </c>
      <c r="C4" s="18" t="n">
        <v>1</v>
      </c>
      <c r="D4" s="18" t="n">
        <f aca="false">-(B4/A4*LOG(B4/A4,2) + C4/A4*LOG(C4/A4,2))</f>
        <v>0.811278124459133</v>
      </c>
    </row>
    <row r="7" customFormat="false" ht="13.8" hidden="false" customHeight="false" outlineLevel="0" collapsed="false">
      <c r="A7" s="16" t="s">
        <v>70</v>
      </c>
      <c r="B7" s="16"/>
      <c r="C7" s="16"/>
      <c r="D7" s="16"/>
      <c r="G7" s="16" t="s">
        <v>71</v>
      </c>
      <c r="H7" s="16"/>
      <c r="I7" s="16"/>
      <c r="J7" s="16"/>
    </row>
    <row r="8" customFormat="false" ht="13.8" hidden="false" customHeight="false" outlineLevel="0" collapsed="false">
      <c r="A8" s="19" t="s">
        <v>38</v>
      </c>
      <c r="B8" s="19" t="s">
        <v>13</v>
      </c>
      <c r="C8" s="19" t="s">
        <v>10</v>
      </c>
      <c r="D8" s="19" t="s">
        <v>23</v>
      </c>
      <c r="E8" s="19" t="s">
        <v>24</v>
      </c>
      <c r="G8" s="19" t="s">
        <v>40</v>
      </c>
      <c r="H8" s="19" t="s">
        <v>13</v>
      </c>
      <c r="I8" s="19" t="s">
        <v>10</v>
      </c>
      <c r="J8" s="19" t="s">
        <v>23</v>
      </c>
      <c r="K8" s="19" t="s">
        <v>24</v>
      </c>
    </row>
    <row r="9" customFormat="false" ht="13.8" hidden="false" customHeight="false" outlineLevel="0" collapsed="false">
      <c r="A9" s="18" t="s">
        <v>61</v>
      </c>
      <c r="B9" s="18" t="n">
        <v>2</v>
      </c>
      <c r="C9" s="18" t="n">
        <v>1</v>
      </c>
      <c r="D9" s="18" t="n">
        <f aca="false">B9+C9</f>
        <v>3</v>
      </c>
      <c r="E9" s="18" t="n">
        <f aca="false">-(B9/D9*LOG(B9/D9,2) + C9/D9*LOG(C9/D9,2))</f>
        <v>0.91829583405449</v>
      </c>
      <c r="G9" s="18" t="s">
        <v>67</v>
      </c>
      <c r="H9" s="18" t="n">
        <v>1</v>
      </c>
      <c r="I9" s="18" t="n">
        <v>1</v>
      </c>
      <c r="J9" s="18" t="n">
        <f aca="false">H9+I9</f>
        <v>2</v>
      </c>
      <c r="K9" s="18" t="n">
        <f aca="false">-(H9/J9*LOG(H9/J9,2) + I9/J9*LOG(I9/J9,2))</f>
        <v>1</v>
      </c>
    </row>
    <row r="10" customFormat="false" ht="13.8" hidden="false" customHeight="false" outlineLevel="0" collapsed="false">
      <c r="A10" s="18" t="s">
        <v>60</v>
      </c>
      <c r="B10" s="18" t="n">
        <v>1</v>
      </c>
      <c r="C10" s="18" t="n">
        <v>0</v>
      </c>
      <c r="D10" s="18" t="n">
        <f aca="false">B10+C10</f>
        <v>1</v>
      </c>
      <c r="E10" s="18" t="n">
        <v>0</v>
      </c>
      <c r="G10" s="18" t="s">
        <v>68</v>
      </c>
      <c r="H10" s="18" t="n">
        <v>1</v>
      </c>
      <c r="I10" s="18" t="n">
        <v>0</v>
      </c>
      <c r="J10" s="18" t="n">
        <f aca="false">H10+I10</f>
        <v>1</v>
      </c>
      <c r="K10" s="18" t="n">
        <v>0</v>
      </c>
    </row>
    <row r="11" customFormat="false" ht="13.8" hidden="false" customHeight="false" outlineLevel="0" collapsed="false"/>
    <row r="12" customFormat="false" ht="13.8" hidden="false" customHeight="false" outlineLevel="0" collapsed="false">
      <c r="A12" s="21" t="s">
        <v>26</v>
      </c>
      <c r="B12" s="21" t="n">
        <v>0</v>
      </c>
      <c r="G12" s="21" t="s">
        <v>26</v>
      </c>
      <c r="H12" s="21" t="n">
        <v>0</v>
      </c>
    </row>
    <row r="13" customFormat="false" ht="13.8" hidden="false" customHeight="false" outlineLevel="0" collapsed="false">
      <c r="A13" s="21" t="s">
        <v>27</v>
      </c>
      <c r="B13" s="21" t="n">
        <f aca="false">$D$4-B12</f>
        <v>0.811278124459133</v>
      </c>
      <c r="G13" s="21" t="s">
        <v>27</v>
      </c>
      <c r="H13" s="21" t="n">
        <f aca="false">$D$4-H12</f>
        <v>0.811278124459133</v>
      </c>
    </row>
    <row r="16" customFormat="false" ht="14.25" hidden="false" customHeight="false" outlineLevel="0" collapsed="false">
      <c r="A16" s="16" t="s">
        <v>35</v>
      </c>
      <c r="B16" s="16"/>
      <c r="C16" s="16"/>
      <c r="D16" s="16"/>
    </row>
    <row r="17" customFormat="false" ht="14.25" hidden="false" customHeight="false" outlineLevel="0" collapsed="false">
      <c r="A17" s="17" t="s">
        <v>20</v>
      </c>
      <c r="B17" s="17" t="s">
        <v>13</v>
      </c>
      <c r="C17" s="17" t="s">
        <v>10</v>
      </c>
      <c r="D17" s="17" t="s">
        <v>21</v>
      </c>
    </row>
    <row r="18" customFormat="false" ht="14.25" hidden="false" customHeight="false" outlineLevel="0" collapsed="false">
      <c r="A18" s="18" t="n">
        <v>5</v>
      </c>
      <c r="B18" s="18" t="n">
        <v>4</v>
      </c>
      <c r="C18" s="18" t="n">
        <v>1</v>
      </c>
      <c r="D18" s="18" t="n">
        <f aca="false">-(B18/A18*LOG(B18/A18,2) + C18/A18*LOG(C18/A18,2))</f>
        <v>0.721928094887362</v>
      </c>
    </row>
    <row r="21" customFormat="false" ht="14.25" hidden="false" customHeight="false" outlineLevel="0" collapsed="false">
      <c r="A21" s="16" t="s">
        <v>36</v>
      </c>
      <c r="B21" s="16"/>
      <c r="C21" s="16"/>
      <c r="D21" s="16"/>
    </row>
    <row r="22" customFormat="false" ht="14.25" hidden="false" customHeight="false" outlineLevel="0" collapsed="false">
      <c r="A22" s="19" t="s">
        <v>4</v>
      </c>
      <c r="B22" s="19" t="s">
        <v>13</v>
      </c>
      <c r="C22" s="19" t="s">
        <v>10</v>
      </c>
      <c r="D22" s="19" t="s">
        <v>23</v>
      </c>
      <c r="E22" s="19" t="s">
        <v>24</v>
      </c>
    </row>
    <row r="23" customFormat="false" ht="14.25" hidden="false" customHeight="false" outlineLevel="0" collapsed="false">
      <c r="A23" s="18" t="s">
        <v>9</v>
      </c>
      <c r="B23" s="18" t="n">
        <v>3</v>
      </c>
      <c r="C23" s="18" t="n">
        <v>0</v>
      </c>
      <c r="D23" s="18" t="n">
        <f aca="false">B23+C23</f>
        <v>3</v>
      </c>
      <c r="E23" s="18" t="n">
        <v>0</v>
      </c>
    </row>
    <row r="24" customFormat="false" ht="14.25" hidden="false" customHeight="false" outlineLevel="0" collapsed="false">
      <c r="A24" s="18" t="s">
        <v>11</v>
      </c>
      <c r="B24" s="18" t="n">
        <v>0</v>
      </c>
      <c r="C24" s="18" t="n">
        <v>2</v>
      </c>
      <c r="D24" s="18" t="n">
        <f aca="false">B24+C24</f>
        <v>2</v>
      </c>
      <c r="E24" s="18" t="n">
        <v>0</v>
      </c>
    </row>
    <row r="26" customFormat="false" ht="14.25" hidden="false" customHeight="false" outlineLevel="0" collapsed="false">
      <c r="A26" s="21" t="s">
        <v>26</v>
      </c>
      <c r="B26" s="21" t="n">
        <v>0</v>
      </c>
    </row>
    <row r="27" customFormat="false" ht="14.25" hidden="false" customHeight="false" outlineLevel="0" collapsed="false">
      <c r="A27" s="21" t="s">
        <v>27</v>
      </c>
      <c r="B27" s="21" t="n">
        <f aca="false">$D$4-B26</f>
        <v>0.811278124459133</v>
      </c>
    </row>
  </sheetData>
  <mergeCells count="5">
    <mergeCell ref="A2:D2"/>
    <mergeCell ref="A7:D7"/>
    <mergeCell ref="G7:J7"/>
    <mergeCell ref="A16:D16"/>
    <mergeCell ref="A21:D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2025-04-15T08:45:59Z</dcterms:created>
  <dc:creator>M S I</dc:creator>
  <dc:description/>
  <dc:language>en-US</dc:language>
  <cp:lastModifiedBy/>
  <dcterms:modified xsi:type="dcterms:W3CDTF">2026-04-28T16:28:32Z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